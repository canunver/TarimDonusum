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kan.ozen\Downloads\"/>
    </mc:Choice>
  </mc:AlternateContent>
  <xr:revisionPtr revIDLastSave="0" documentId="13_ncr:1_{9BE64A4E-5FC3-4B60-8C61-A893ACAC03CB}" xr6:coauthVersionLast="47" xr6:coauthVersionMax="47" xr10:uidLastSave="{00000000-0000-0000-0000-000000000000}"/>
  <bookViews>
    <workbookView xWindow="-120" yWindow="-120" windowWidth="29040" windowHeight="15720" xr2:uid="{00000000-000D-0000-FFFF-FFFF00000000}"/>
  </bookViews>
  <sheets>
    <sheet name="Başvuru Formu" sheetId="1" r:id="rId1"/>
    <sheet name="Tarımsal Ürün Girdi Özeti" sheetId="3" state="hidden" r:id="rId2"/>
    <sheet name="Doldurma Rehberi" sheetId="2" state="hidden" r:id="rId3"/>
    <sheet name="Puanlama - Alt 1"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4" l="1"/>
  <c r="E5" i="4"/>
  <c r="A18" i="3"/>
  <c r="A17" i="3"/>
  <c r="F17" i="3" s="1"/>
  <c r="A16" i="3"/>
  <c r="F16" i="3" s="1"/>
  <c r="A15" i="3"/>
  <c r="A14" i="3"/>
  <c r="F14" i="3" s="1"/>
  <c r="A13" i="3"/>
  <c r="A12" i="3"/>
  <c r="A11" i="3"/>
  <c r="F11" i="3" s="1"/>
  <c r="A10" i="3"/>
  <c r="A9" i="3"/>
  <c r="A8" i="3"/>
  <c r="F8" i="3" s="1"/>
  <c r="A7" i="3"/>
  <c r="A6" i="3"/>
  <c r="F6" i="3" s="1"/>
  <c r="A5" i="3"/>
  <c r="A4" i="3"/>
  <c r="A3" i="3" a="1"/>
  <c r="A3" i="3" s="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D9" i="1"/>
  <c r="F9" i="1" s="1"/>
  <c r="B9" i="1"/>
  <c r="L9" i="1" l="1"/>
  <c r="B4" i="3"/>
  <c r="B5" i="3"/>
  <c r="C5" i="3" s="1"/>
  <c r="D5" i="3" s="1"/>
  <c r="C6" i="4"/>
  <c r="B16" i="3"/>
  <c r="D16" i="3" s="1"/>
  <c r="B8" i="3"/>
  <c r="C8" i="3" s="1"/>
  <c r="F5" i="3"/>
  <c r="B6" i="3"/>
  <c r="C6" i="3" s="1"/>
  <c r="D6" i="3" s="1"/>
  <c r="D8" i="3"/>
  <c r="O9" i="1"/>
  <c r="D3" i="4" s="1"/>
  <c r="C3" i="4"/>
  <c r="F3" i="3"/>
  <c r="B3" i="3"/>
  <c r="O10" i="1"/>
  <c r="H9" i="1"/>
  <c r="C4" i="4"/>
  <c r="F13" i="3"/>
  <c r="B15" i="3"/>
  <c r="C15" i="3" s="1"/>
  <c r="B12" i="3"/>
  <c r="F7" i="3"/>
  <c r="B9" i="3"/>
  <c r="C9" i="3" s="1"/>
  <c r="C12" i="3"/>
  <c r="C16" i="3"/>
  <c r="B10" i="3"/>
  <c r="D10" i="3" s="1"/>
  <c r="F10" i="3"/>
  <c r="D12" i="3"/>
  <c r="F18" i="3"/>
  <c r="B18" i="3"/>
  <c r="C18" i="3" s="1"/>
  <c r="F15" i="3"/>
  <c r="B17" i="3"/>
  <c r="D17" i="3" s="1"/>
  <c r="F4" i="3"/>
  <c r="F12" i="3"/>
  <c r="B14" i="3"/>
  <c r="D14" i="3" s="1"/>
  <c r="B13" i="3"/>
  <c r="C13" i="3" s="1"/>
  <c r="B7" i="3"/>
  <c r="D7" i="3" s="1"/>
  <c r="D13" i="3"/>
  <c r="C4" i="3"/>
  <c r="D4" i="3" s="1"/>
  <c r="F9" i="3"/>
  <c r="B11" i="3"/>
  <c r="C14" i="3"/>
  <c r="D9" i="3" l="1"/>
  <c r="C10" i="3"/>
  <c r="D15" i="3"/>
  <c r="B19" i="3"/>
  <c r="E13" i="3" s="1"/>
  <c r="E7" i="3"/>
  <c r="C7" i="3"/>
  <c r="C3" i="3"/>
  <c r="D18" i="3"/>
  <c r="D5" i="4"/>
  <c r="E18" i="3"/>
  <c r="C11" i="3"/>
  <c r="E11" i="3"/>
  <c r="E15" i="3"/>
  <c r="E3" i="3"/>
  <c r="C17" i="3"/>
  <c r="D4" i="4"/>
  <c r="L10" i="1"/>
  <c r="D11" i="3"/>
  <c r="F19" i="3"/>
  <c r="E17" i="3"/>
  <c r="C19" i="3" l="1"/>
  <c r="D19" i="3" s="1"/>
  <c r="D3" i="3"/>
  <c r="E8" i="3"/>
  <c r="E6" i="3"/>
  <c r="E4" i="3"/>
  <c r="E9" i="3"/>
  <c r="E10" i="3"/>
  <c r="E12" i="3"/>
  <c r="E16" i="3"/>
  <c r="E14" i="3"/>
  <c r="E5" i="3"/>
  <c r="E19"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<sst xmlns="http://schemas.openxmlformats.org/spreadsheetml/2006/main" count="4135" uniqueCount="2133">
  <si>
    <t>TEDARİKÇİ ENTEGRASYONU PLANI FORMU</t>
  </si>
  <si>
    <t>A. BAŞVURU VE YATIRIM BİLGİLERİ</t>
  </si>
  <si>
    <t>Başvuru No</t>
  </si>
  <si>
    <t>Başvuru Sahibi / Unvan</t>
  </si>
  <si>
    <t>Proje Adı</t>
  </si>
  <si>
    <t>Tesis İl / İlçe</t>
  </si>
  <si>
    <t>Form Tarihi</t>
  </si>
  <si>
    <t>C. ÜRÜN – TARIMSAL GİRDİ – TEDARİK YERİ PLANI</t>
  </si>
  <si>
    <t>C sütununa puanlamaya dahil edilecek tarımsal ürünler yazılmalıdır. Her satırda tedarik ili ve ilçesi birlikte, hedef yıllık miktar ile hedef birim fiyat eksiksiz girilmelidir.</t>
  </si>
  <si>
    <t>Sıra</t>
  </si>
  <si>
    <t>Üretilecek Ürün</t>
  </si>
  <si>
    <t>Çiftçilerden Alınan Tarımsal Ürün</t>
  </si>
  <si>
    <t>Tedarik İli</t>
  </si>
  <si>
    <t>Tedarik İlçesi</t>
  </si>
  <si>
    <t>Birim</t>
  </si>
  <si>
    <t>Mevcut</t>
  </si>
  <si>
    <t xml:space="preserve">Hedef </t>
  </si>
  <si>
    <t>Mevcut Kayıtlı Çiftçi</t>
  </si>
  <si>
    <t>Eklenecek Kayıtlı Çiftçi</t>
  </si>
  <si>
    <t>Tedarik Şekli</t>
  </si>
  <si>
    <t>Dayanak Belge / Kısa Açıklama</t>
  </si>
  <si>
    <t>SEGE Kademesi</t>
  </si>
  <si>
    <t>Hedef Yıllık Tedarik Değeri (TL)</t>
  </si>
  <si>
    <t>Yıllık Miktar</t>
  </si>
  <si>
    <t>Birim Fiyat (TL)</t>
  </si>
  <si>
    <t>Vişneli Çikolata</t>
  </si>
  <si>
    <t>Süt</t>
  </si>
  <si>
    <t>Balıkesir</t>
  </si>
  <si>
    <t>Manyas</t>
  </si>
  <si>
    <t>ton</t>
  </si>
  <si>
    <t>Sözleşmeli tedarik</t>
  </si>
  <si>
    <t>Bandırma</t>
  </si>
  <si>
    <t>Vişne</t>
  </si>
  <si>
    <t>Kepsut</t>
  </si>
  <si>
    <t>İzmir</t>
  </si>
  <si>
    <t>Ödemiş</t>
  </si>
  <si>
    <t>Kayısılı Çikolata</t>
  </si>
  <si>
    <t>Kayısı</t>
  </si>
  <si>
    <t>Niyet / protokol</t>
  </si>
  <si>
    <t>Fındıklı Çikolata</t>
  </si>
  <si>
    <t>Fındık</t>
  </si>
  <si>
    <t>Giresun</t>
  </si>
  <si>
    <t>Merkez</t>
  </si>
  <si>
    <t>D. ENTEGRASYON PLANININ KISA AÇIKLAMASI</t>
  </si>
  <si>
    <t>Yeni tedarikçilerin nasıl bulunacağını ve doğrulanacağını, tedarikin ne zaman başlayacağını ve hangi sözleşme/niyet belgesiyle destekleneceğini en fazla 5 cümlede açıklayınız.</t>
  </si>
  <si>
    <t>E. BAŞVURU SAHİBİ BEYANI</t>
  </si>
  <si>
    <t>Bu formdaki bilgilerin doğru ve yatırım planıyla uyumlu olduğunu; talep edilmesi hâlinde miktar, kayıtlı çiftçi ve tedarik yeri bilgilerini destekleyen belgeleri Kuruma sunacağımı beyan ederim.</t>
  </si>
  <si>
    <t>Yetkili Adı Soyadı</t>
  </si>
  <si>
    <t>Unvanı</t>
  </si>
  <si>
    <t>Tarih / İmza</t>
  </si>
  <si>
    <t>TEDARİKÇİ ENTEGRASYONU FORMU — KISA DOLDURMA REHBERİ</t>
  </si>
  <si>
    <t>Anahtar (İl|İlçe)</t>
  </si>
  <si>
    <t>İl</t>
  </si>
  <si>
    <t>İlçe</t>
  </si>
  <si>
    <t>Kademe</t>
  </si>
  <si>
    <t>Kademe Açıklaması</t>
  </si>
  <si>
    <t>Kaynak</t>
  </si>
  <si>
    <t>Rehber, yalnızca formun doğru ve tutarlı doldurulması için gerekli temel hususları içerir. Nihai puan ve uygunluk Kurum tarafından doğrulanır.</t>
  </si>
  <si>
    <t>Adana|Aladağ</t>
  </si>
  <si>
    <t>Adana</t>
  </si>
  <si>
    <t>Aladağ</t>
  </si>
  <si>
    <t>5. Kademe</t>
  </si>
  <si>
    <t>SEGE_2022_Il_Ilce_Kademe.xlsx</t>
  </si>
  <si>
    <t>Adana|Ceyhan</t>
  </si>
  <si>
    <t>Ceyhan</t>
  </si>
  <si>
    <t>3. Kademe</t>
  </si>
  <si>
    <t>1. FORMDA NE YAZILACAK?</t>
  </si>
  <si>
    <t>Adana|Çukurova</t>
  </si>
  <si>
    <t>Çukurova</t>
  </si>
  <si>
    <t>2. Kademe</t>
  </si>
  <si>
    <t>Kullanım</t>
  </si>
  <si>
    <t>Bölüm</t>
  </si>
  <si>
    <t>Yazılacak Bilgi</t>
  </si>
  <si>
    <t>Dikkat Edilecek Nokta</t>
  </si>
  <si>
    <t>Önerilen Dayanak</t>
  </si>
  <si>
    <t>POM ile Bağlantı</t>
  </si>
  <si>
    <t>Örnek</t>
  </si>
  <si>
    <t>Zorunlu</t>
  </si>
  <si>
    <t>Kontrol</t>
  </si>
  <si>
    <t>Adana|Feke</t>
  </si>
  <si>
    <t>Feke</t>
  </si>
  <si>
    <t>6. Kademe</t>
  </si>
  <si>
    <t>Bu teknik alan, Başvuru Formundaki il + ilçe eşleşmesi ve otomatik puanlama için kullanılır.</t>
  </si>
  <si>
    <t>Başvuru bilgileri</t>
  </si>
  <si>
    <t>Başvuru sahibi, proje, tesis yeri ve uygun yatırım maliyeti</t>
  </si>
  <si>
    <t>Yatırım maliyeti USD olarak yazılmalıdır.</t>
  </si>
  <si>
    <t>Başvuru formu / bütçe</t>
  </si>
  <si>
    <t>100.000 USD başına gösterge hesabı</t>
  </si>
  <si>
    <t>500.000 USD</t>
  </si>
  <si>
    <t>Evet</t>
  </si>
  <si>
    <t>Tutar ve yer tutarlı mı?</t>
  </si>
  <si>
    <t>Adana|İmamoğlu</t>
  </si>
  <si>
    <t>İmamoğlu</t>
  </si>
  <si>
    <t>4. Kademe</t>
  </si>
  <si>
    <t>Ürün ve hammadde</t>
  </si>
  <si>
    <t>Üretilecek ürün ile bu ürün için alınacak ana hammadde/girdi</t>
  </si>
  <si>
    <t>Yalnızca ana ve miktar bakımından önemli girdileri yazınız.</t>
  </si>
  <si>
    <t>Üretim planı / kapasite</t>
  </si>
  <si>
    <t>Tedarik yapısının gerçekçiliği</t>
  </si>
  <si>
    <t>Salça – domates</t>
  </si>
  <si>
    <t>Ürün–girdi ilişkisi makul mü?</t>
  </si>
  <si>
    <t>Adana|Karaisalı</t>
  </si>
  <si>
    <t>Karaisalı</t>
  </si>
  <si>
    <t>Tedarik İli / İlçesi</t>
  </si>
  <si>
    <t>Hammaddenin tedarik edileceği il ve ilçe birlikte yazılır.</t>
  </si>
  <si>
    <t>SEGE eşleştirmesi aynı ilçe adlarının farklı illerde bulunabilmesi nedeniyle İl + İlçe birleşik anahtarıyla yapılır.</t>
  </si>
  <si>
    <t>Tedarik kaydı / niyet belgesi</t>
  </si>
  <si>
    <t>SEGE 4–6 kaynak kullanımı</t>
  </si>
  <si>
    <t>Balıkesir / Manyas</t>
  </si>
  <si>
    <t>İl ve ilçe SEGE listesiyle eşleşiyor mu?</t>
  </si>
  <si>
    <t>Adana|Karataş</t>
  </si>
  <si>
    <t>Karataş</t>
  </si>
  <si>
    <t>Hedef Tedarik Miktarı / Birim Fiyatı / Değeri</t>
  </si>
  <si>
    <t>Her tarımsal ürün için hedef yıllık miktar ve hedef birim fiyat yazılır. Hedef yıllık tedarik değeri otomatik hesaplanır.</t>
  </si>
  <si>
    <t>Hedef miktarı ve hedef birim fiyatı boş bırakmayınız. Farklı ölçü birimleri nedeniyle SEGE payı miktardan değil değerden hesaplanır.</t>
  </si>
  <si>
    <t>Fatura / fiyat teklifi / sözleşme / üretim planı</t>
  </si>
  <si>
    <t>Tüm tarımsal ürünlerin SEGE 4–6 tedarik değeri payı</t>
  </si>
  <si>
    <t>12.400.000 TL toplam; 8.600.000 TL SEGE 4–6</t>
  </si>
  <si>
    <t>Miktar, birim fiyat ve otomatik hesaplanan değer tutarlı mı?</t>
  </si>
  <si>
    <t>Adana|Kozan</t>
  </si>
  <si>
    <t>Kozan</t>
  </si>
  <si>
    <t>Kayıtlı çiftçi</t>
  </si>
  <si>
    <t>Mevcut ve eklenecek kayıtlı çiftçi sayısı</t>
  </si>
  <si>
    <t>Aynı çiftçiyi birden fazla satırda saymayınız.</t>
  </si>
  <si>
    <t>ÇKS/kayıt belgesi, sözleşme veya niyet</t>
  </si>
  <si>
    <t>Ek çiftçi / 100.000 USD</t>
  </si>
  <si>
    <t>40 mevcut + 12 yeni</t>
  </si>
  <si>
    <t>Çiftçiler tekil ve kayıtlı mı?</t>
  </si>
  <si>
    <t>Adana|Pozantı</t>
  </si>
  <si>
    <t>Pozantı</t>
  </si>
  <si>
    <t>Tedarik şekli ve belge</t>
  </si>
  <si>
    <t>Doğrudan, kooperatif, sözleşme vb. yöntem ile belge referansı</t>
  </si>
  <si>
    <t>Belge adı veya dosya numarası yeterlidir; kişisel veri yazmayınız.</t>
  </si>
  <si>
    <t>Sözleşme / protokol / niyet</t>
  </si>
  <si>
    <t>Planın doğrulanabilirliği</t>
  </si>
  <si>
    <t>TD-01 Niyet Protokolü</t>
  </si>
  <si>
    <t>Belge planı destekliyor mu?</t>
  </si>
  <si>
    <t>Adana|Saimbeyli</t>
  </si>
  <si>
    <t>Saimbeyli</t>
  </si>
  <si>
    <t>Kısa açıklama</t>
  </si>
  <si>
    <t>Yeni tedarikçilerin bulunması, doğrulanması ve tedarik başlangıcı</t>
  </si>
  <si>
    <t>En fazla 5 cümle yazınız.</t>
  </si>
  <si>
    <t>Uygulama takvimi</t>
  </si>
  <si>
    <t>Entegrasyon planının gerçekçiliği</t>
  </si>
  <si>
    <t>Kooperatif listesi doğrulanacak...</t>
  </si>
  <si>
    <t>Sorumlu ve zamanlama belli mi?</t>
  </si>
  <si>
    <t>Adana|Sarıçam</t>
  </si>
  <si>
    <t>Sarıçam</t>
  </si>
  <si>
    <t>Adana|Seyhan</t>
  </si>
  <si>
    <t>Seyhan</t>
  </si>
  <si>
    <t>1. Kademe</t>
  </si>
  <si>
    <t>2. POM’DAN ALINAN TEMEL EŞİKLER</t>
  </si>
  <si>
    <t>Adana|Tufanbeyli</t>
  </si>
  <si>
    <t>Tufanbeyli</t>
  </si>
  <si>
    <t>Gösterge</t>
  </si>
  <si>
    <t>Asgari Eşik</t>
  </si>
  <si>
    <t>Sıralamada Kullanım</t>
  </si>
  <si>
    <t>Başvuru Sahibinin Girişi</t>
  </si>
  <si>
    <t>Otomatik Sonuç</t>
  </si>
  <si>
    <t>Kurum Kontrolü</t>
  </si>
  <si>
    <t>Not</t>
  </si>
  <si>
    <t>Adana|Yumurtalık</t>
  </si>
  <si>
    <t>Yumurtalık</t>
  </si>
  <si>
    <t>Ek kayıtlı çiftçi</t>
  </si>
  <si>
    <t>≥ 2 / 100.000 USD</t>
  </si>
  <si>
    <t>Ek çiftçi sayısı arttıkça ilgili puan bandı yükselir.</t>
  </si>
  <si>
    <t>Tablodaki eklenecek çiftçi sayısı</t>
  </si>
  <si>
    <t>Yeni çiftçi / 100.000 USD</t>
  </si>
  <si>
    <t>Kayıt ve tekillik</t>
  </si>
  <si>
    <t>Asgari katkı durumunda yalnızca ek kayıtlı çiftçi eşiği otomatik dikkate alınır.</t>
  </si>
  <si>
    <t>POM – Supply chain integration</t>
  </si>
  <si>
    <t>Adana|Yüreğir</t>
  </si>
  <si>
    <t>Yüreğir</t>
  </si>
  <si>
    <t>Tedarik Yeri – SEGE 4–6</t>
  </si>
  <si>
    <t>C bölümündeki tüm tarımsal ürünlerin toplam hedef miktarı içinde SEGE 4–6 ilçelerinin payı.</t>
  </si>
  <si>
    <t>Sıralama: %0=0; &gt;%0–%20=1; &gt;%20–%50=4; &gt;%50–%100=7,5 puan.</t>
  </si>
  <si>
    <t>C Bölümündeki tüm tarımsal ürünlerin il, ilçe ve hedef miktarları</t>
  </si>
  <si>
    <t>SEGE kademesi, SEGE 4–6 payı ve tedarik puanı</t>
  </si>
  <si>
    <t>İl + ilçe eşleşmesi ve pozitif hedef miktar kontrol edilir.</t>
  </si>
  <si>
    <t>Hedef miktar eksik veya il/ilçe eşleşmemişse puan hesaplanmaz.</t>
  </si>
  <si>
    <t>Kaynak: POM coğrafi hedefleme ölçütü ve SEGE 2022 ilçe kademeleri.</t>
  </si>
  <si>
    <t>Adıyaman|Besni</t>
  </si>
  <si>
    <t>Adıyaman</t>
  </si>
  <si>
    <t>Besni</t>
  </si>
  <si>
    <t>Adıyaman|Çelikhan</t>
  </si>
  <si>
    <t>Çelikhan</t>
  </si>
  <si>
    <t>Adıyaman|Gerger</t>
  </si>
  <si>
    <t>Gerger</t>
  </si>
  <si>
    <t>3. KISA KONTROL LİSTESİ</t>
  </si>
  <si>
    <t>Adıyaman|Gölbaşı</t>
  </si>
  <si>
    <t>Gölbaşı</t>
  </si>
  <si>
    <t>☐ C Bölümüne alınan tüm tarımsal ürünler yazıldı.    ☐ Her satırda pozitif hedef miktar girildi.
☐ Tüm il ve ilçeler SEGE listesiyle eşleşti.    ☐ SEGE 4–6 payı ve tedarik puanı oluştu.</t>
  </si>
  <si>
    <t>Adıyaman|Kahta</t>
  </si>
  <si>
    <t>Kahta</t>
  </si>
  <si>
    <t>Adıyaman|Merkez</t>
  </si>
  <si>
    <t>Adıyaman|Samsat</t>
  </si>
  <si>
    <t>Samsat</t>
  </si>
  <si>
    <t>Adıyaman|Sincik</t>
  </si>
  <si>
    <t>Sincik</t>
  </si>
  <si>
    <t>Adıyaman|Tut</t>
  </si>
  <si>
    <t>Tut</t>
  </si>
  <si>
    <t>Afyonkarahisar|Başmakçı</t>
  </si>
  <si>
    <t>Afyonkarahisar</t>
  </si>
  <si>
    <t>Başmakçı</t>
  </si>
  <si>
    <t>Afyonkarahisar|Bayat</t>
  </si>
  <si>
    <t>Bayat</t>
  </si>
  <si>
    <t>Afyonkarahisar|Bolvadin</t>
  </si>
  <si>
    <t>Bolvadin</t>
  </si>
  <si>
    <t>Afyonkarahisar|Çay</t>
  </si>
  <si>
    <t>Çay</t>
  </si>
  <si>
    <t>Afyonkarahisar|Çobanlar</t>
  </si>
  <si>
    <t>Çobanlar</t>
  </si>
  <si>
    <t>Afyonkarahisar|Dazkırı</t>
  </si>
  <si>
    <t>Dazkırı</t>
  </si>
  <si>
    <t>Afyonkarahisar|Dinar</t>
  </si>
  <si>
    <t>Dinar</t>
  </si>
  <si>
    <t>Afyonkarahisar|Emirdağ</t>
  </si>
  <si>
    <t>Emirdağ</t>
  </si>
  <si>
    <t>Afyonkarahisar|Evciler</t>
  </si>
  <si>
    <t>Evciler</t>
  </si>
  <si>
    <t>Afyonkarahisar|Hocalar</t>
  </si>
  <si>
    <t>Hocalar</t>
  </si>
  <si>
    <t>Afyonkarahisar|İhsaniye</t>
  </si>
  <si>
    <t>İhsaniye</t>
  </si>
  <si>
    <t>Afyonkarahisar|İscehisar</t>
  </si>
  <si>
    <t>İscehisar</t>
  </si>
  <si>
    <t>Afyonkarahisar|Kızılören</t>
  </si>
  <si>
    <t>Kızılören</t>
  </si>
  <si>
    <t>Afyonkarahisar|Merkez</t>
  </si>
  <si>
    <t>Afyonkarahisar|Sandıklı</t>
  </si>
  <si>
    <t>Sandıklı</t>
  </si>
  <si>
    <t>Afyonkarahisar|Sinanpaşa</t>
  </si>
  <si>
    <t>Sinanpaşa</t>
  </si>
  <si>
    <t>Afyonkarahisar|Sultandağı</t>
  </si>
  <si>
    <t>Sultandağı</t>
  </si>
  <si>
    <t>Afyonkarahisar|Şuhut</t>
  </si>
  <si>
    <t>Şuhut</t>
  </si>
  <si>
    <t>Ağrı|Diyadin</t>
  </si>
  <si>
    <t>Ağrı</t>
  </si>
  <si>
    <t>Diyadin</t>
  </si>
  <si>
    <t>Ağrı|Doğubayazıt</t>
  </si>
  <si>
    <t>Doğubayazıt</t>
  </si>
  <si>
    <t>Ağrı|Eleşkirt</t>
  </si>
  <si>
    <t>Eleşkirt</t>
  </si>
  <si>
    <t>Ağrı|Hamur</t>
  </si>
  <si>
    <t>Hamur</t>
  </si>
  <si>
    <t>Ağrı|Merkez</t>
  </si>
  <si>
    <t>Ağrı|Patnos</t>
  </si>
  <si>
    <t>Patnos</t>
  </si>
  <si>
    <t>Ağrı|Taşlıçay</t>
  </si>
  <si>
    <t>Taşlıçay</t>
  </si>
  <si>
    <t>Ağrı|Tutak</t>
  </si>
  <si>
    <t>Tutak</t>
  </si>
  <si>
    <t>Aksaray|Ağaçören</t>
  </si>
  <si>
    <t>Aksaray</t>
  </si>
  <si>
    <t>Ağaçören</t>
  </si>
  <si>
    <t>Aksaray|Eskil</t>
  </si>
  <si>
    <t>Eskil</t>
  </si>
  <si>
    <t>Aksaray|Gülağaç</t>
  </si>
  <si>
    <t>Gülağaç</t>
  </si>
  <si>
    <t>Aksaray|Güzelyurt</t>
  </si>
  <si>
    <t>Güzelyurt</t>
  </si>
  <si>
    <t>Aksaray|Merkez</t>
  </si>
  <si>
    <t>Aksaray|Ortaköy</t>
  </si>
  <si>
    <t>Ortaköy</t>
  </si>
  <si>
    <t>Aksaray|Sarıyahşi</t>
  </si>
  <si>
    <t>Sarıyahşi</t>
  </si>
  <si>
    <t>Aksaray|Sultanhanı</t>
  </si>
  <si>
    <t>Sultanhanı</t>
  </si>
  <si>
    <t>Amasya|Göynücek</t>
  </si>
  <si>
    <t>Amasya</t>
  </si>
  <si>
    <t>Göynücek</t>
  </si>
  <si>
    <t>Amasya|Gümüşhacıköy</t>
  </si>
  <si>
    <t>Gümüşhacıköy</t>
  </si>
  <si>
    <t>Amasya|Hamamözü</t>
  </si>
  <si>
    <t>Hamamözü</t>
  </si>
  <si>
    <t>Amasya|Merkez</t>
  </si>
  <si>
    <t>Amasya|Merzifon</t>
  </si>
  <si>
    <t>Merzifon</t>
  </si>
  <si>
    <t>Amasya|Suluova</t>
  </si>
  <si>
    <t>Suluova</t>
  </si>
  <si>
    <t>Amasya|Taşova</t>
  </si>
  <si>
    <t>Taşova</t>
  </si>
  <si>
    <t>Ankara|Akyurt</t>
  </si>
  <si>
    <t>Ankara</t>
  </si>
  <si>
    <t>Akyurt</t>
  </si>
  <si>
    <t>Ankara|Altındağ</t>
  </si>
  <si>
    <t>Altındağ</t>
  </si>
  <si>
    <t>Ankara|Ayaş</t>
  </si>
  <si>
    <t>Ayaş</t>
  </si>
  <si>
    <t>Ankara|Bala</t>
  </si>
  <si>
    <t>Bala</t>
  </si>
  <si>
    <t>Ankara|Beypazarı</t>
  </si>
  <si>
    <t>Beypazarı</t>
  </si>
  <si>
    <t>Ankara|Çamlıdere</t>
  </si>
  <si>
    <t>Çamlıdere</t>
  </si>
  <si>
    <t>Ankara|Çankaya</t>
  </si>
  <si>
    <t>Çankaya</t>
  </si>
  <si>
    <t>Ankara|Çubuk</t>
  </si>
  <si>
    <t>Çubuk</t>
  </si>
  <si>
    <t>Ankara|Elmadağ</t>
  </si>
  <si>
    <t>Elmadağ</t>
  </si>
  <si>
    <t>Ankara|Etimesgut</t>
  </si>
  <si>
    <t>Etimesgut</t>
  </si>
  <si>
    <t>Ankara|Evren</t>
  </si>
  <si>
    <t>Evren</t>
  </si>
  <si>
    <t>Ankara|Gölbaşı</t>
  </si>
  <si>
    <t>Ankara|Güdül</t>
  </si>
  <si>
    <t>Güdül</t>
  </si>
  <si>
    <t>Ankara|Haymana</t>
  </si>
  <si>
    <t>Haymana</t>
  </si>
  <si>
    <t>Ankara|Kahramankazan</t>
  </si>
  <si>
    <t>Kahramankazan</t>
  </si>
  <si>
    <t>Ankara|Kalecik</t>
  </si>
  <si>
    <t>Kalecik</t>
  </si>
  <si>
    <t>Ankara|Keçiören</t>
  </si>
  <si>
    <t>Keçiören</t>
  </si>
  <si>
    <t>Ankara|Kızılcahamam</t>
  </si>
  <si>
    <t>Kızılcahamam</t>
  </si>
  <si>
    <t>Ankara|Mamak</t>
  </si>
  <si>
    <t>Mamak</t>
  </si>
  <si>
    <t>Ankara|Nallıhan</t>
  </si>
  <si>
    <t>Nallıhan</t>
  </si>
  <si>
    <t>Ankara|Polatlı</t>
  </si>
  <si>
    <t>Polatlı</t>
  </si>
  <si>
    <t>Ankara|Pursaklar</t>
  </si>
  <si>
    <t>Pursaklar</t>
  </si>
  <si>
    <t>Ankara|Sincan</t>
  </si>
  <si>
    <t>Sincan</t>
  </si>
  <si>
    <t>Ankara|Şereflikoçhisar</t>
  </si>
  <si>
    <t>Şereflikoçhisar</t>
  </si>
  <si>
    <t>Ankara|Yenimahalle</t>
  </si>
  <si>
    <t>Yenimahalle</t>
  </si>
  <si>
    <t>Antalya|Akseki</t>
  </si>
  <si>
    <t>Antalya</t>
  </si>
  <si>
    <t>Akseki</t>
  </si>
  <si>
    <t>Antalya|Aksu</t>
  </si>
  <si>
    <t>Aksu</t>
  </si>
  <si>
    <t>Antalya|Alanya</t>
  </si>
  <si>
    <t>Alanya</t>
  </si>
  <si>
    <t>Antalya|Demre</t>
  </si>
  <si>
    <t>Demre</t>
  </si>
  <si>
    <t>Antalya|Döşemealtı</t>
  </si>
  <si>
    <t>Döşemealtı</t>
  </si>
  <si>
    <t>Antalya|Elmalı</t>
  </si>
  <si>
    <t>Elmalı</t>
  </si>
  <si>
    <t>Antalya|Finike</t>
  </si>
  <si>
    <t>Finike</t>
  </si>
  <si>
    <t>Antalya|Gazipaşa</t>
  </si>
  <si>
    <t>Gazipaşa</t>
  </si>
  <si>
    <t>Antalya|Gündoğmuş</t>
  </si>
  <si>
    <t>Gündoğmuş</t>
  </si>
  <si>
    <t>Antalya|İbradı</t>
  </si>
  <si>
    <t>İbradı</t>
  </si>
  <si>
    <t>Antalya|Kaş</t>
  </si>
  <si>
    <t>Kaş</t>
  </si>
  <si>
    <t>Antalya|Kemer</t>
  </si>
  <si>
    <t>Kemer</t>
  </si>
  <si>
    <t>Antalya|Kepez</t>
  </si>
  <si>
    <t>Kepez</t>
  </si>
  <si>
    <t>Antalya|Konyaaltı</t>
  </si>
  <si>
    <t>Konyaaltı</t>
  </si>
  <si>
    <t>Antalya|Korkuteli</t>
  </si>
  <si>
    <t>Korkuteli</t>
  </si>
  <si>
    <t>Antalya|Kumluca</t>
  </si>
  <si>
    <t>Kumluca</t>
  </si>
  <si>
    <t>Antalya|Manavgat</t>
  </si>
  <si>
    <t>Manavgat</t>
  </si>
  <si>
    <t>Antalya|Muratpaşa</t>
  </si>
  <si>
    <t>Muratpaşa</t>
  </si>
  <si>
    <t>Antalya|Serik</t>
  </si>
  <si>
    <t>Serik</t>
  </si>
  <si>
    <t>Ardahan|Çıldır</t>
  </si>
  <si>
    <t>Ardahan</t>
  </si>
  <si>
    <t>Çıldır</t>
  </si>
  <si>
    <t>Ardahan|Damal</t>
  </si>
  <si>
    <t>Damal</t>
  </si>
  <si>
    <t>Ardahan|Göle</t>
  </si>
  <si>
    <t>Göle</t>
  </si>
  <si>
    <t>Ardahan|Hanak</t>
  </si>
  <si>
    <t>Hanak</t>
  </si>
  <si>
    <t>Ardahan|Merkez</t>
  </si>
  <si>
    <t>Ardahan|Posof</t>
  </si>
  <si>
    <t>Posof</t>
  </si>
  <si>
    <t>Artvin|Ardanuç</t>
  </si>
  <si>
    <t>Artvin</t>
  </si>
  <si>
    <t>Ardanuç</t>
  </si>
  <si>
    <t>Artvin|Arhavi</t>
  </si>
  <si>
    <t>Arhavi</t>
  </si>
  <si>
    <t>Artvin|Borçka</t>
  </si>
  <si>
    <t>Borçka</t>
  </si>
  <si>
    <t>Artvin|Hopa</t>
  </si>
  <si>
    <t>Hopa</t>
  </si>
  <si>
    <t>Artvin|Kemalpaşa</t>
  </si>
  <si>
    <t>Kemalpaşa</t>
  </si>
  <si>
    <t>Artvin|Merkez</t>
  </si>
  <si>
    <t>Artvin|Murgul</t>
  </si>
  <si>
    <t>Murgul</t>
  </si>
  <si>
    <t>Artvin|Şavşat</t>
  </si>
  <si>
    <t>Şavşat</t>
  </si>
  <si>
    <t>Artvin|Yusufeli</t>
  </si>
  <si>
    <t>Yusufeli</t>
  </si>
  <si>
    <t>Aydın|Bozdoğan</t>
  </si>
  <si>
    <t>Aydın</t>
  </si>
  <si>
    <t>Bozdoğan</t>
  </si>
  <si>
    <t>Aydın|Buharkent</t>
  </si>
  <si>
    <t>Buharkent</t>
  </si>
  <si>
    <t>Aydın|Çine</t>
  </si>
  <si>
    <t>Çine</t>
  </si>
  <si>
    <t>Aydın|Didim</t>
  </si>
  <si>
    <t>Didim</t>
  </si>
  <si>
    <t>Aydın|Efeler</t>
  </si>
  <si>
    <t>Efeler</t>
  </si>
  <si>
    <t>Aydın|Germencik</t>
  </si>
  <si>
    <t>Germencik</t>
  </si>
  <si>
    <t>Aydın|İncirliova</t>
  </si>
  <si>
    <t>İncirliova</t>
  </si>
  <si>
    <t>Aydın|Karacasu</t>
  </si>
  <si>
    <t>Karacasu</t>
  </si>
  <si>
    <t>Aydın|Karpuzlu</t>
  </si>
  <si>
    <t>Karpuzlu</t>
  </si>
  <si>
    <t>Aydın|Koçarlı</t>
  </si>
  <si>
    <t>Koçarlı</t>
  </si>
  <si>
    <t>Aydın|Köşk</t>
  </si>
  <si>
    <t>Köşk</t>
  </si>
  <si>
    <t>Aydın|Kuşadası</t>
  </si>
  <si>
    <t>Kuşadası</t>
  </si>
  <si>
    <t>Aydın|Kuyucak</t>
  </si>
  <si>
    <t>Kuyucak</t>
  </si>
  <si>
    <t>Aydın|Nazilli</t>
  </si>
  <si>
    <t>Nazilli</t>
  </si>
  <si>
    <t>Aydın|Söke</t>
  </si>
  <si>
    <t>Söke</t>
  </si>
  <si>
    <t>Aydın|Sultanhisar</t>
  </si>
  <si>
    <t>Sultanhisar</t>
  </si>
  <si>
    <t>Aydın|Yenipazar</t>
  </si>
  <si>
    <t>Yenipazar</t>
  </si>
  <si>
    <t>Balıkesir|Altıeylül</t>
  </si>
  <si>
    <t>Altıeylül</t>
  </si>
  <si>
    <t>Balıkesir|Ayvalık</t>
  </si>
  <si>
    <t>Ayvalık</t>
  </si>
  <si>
    <t>Balıkesir|Balya</t>
  </si>
  <si>
    <t>Balya</t>
  </si>
  <si>
    <t>Balıkesir|Bandırma</t>
  </si>
  <si>
    <t>Balıkesir|Bigadiç</t>
  </si>
  <si>
    <t>Bigadiç</t>
  </si>
  <si>
    <t>Balıkesir|Burhaniye</t>
  </si>
  <si>
    <t>Burhaniye</t>
  </si>
  <si>
    <t>Balıkesir|Dursunbey</t>
  </si>
  <si>
    <t>Dursunbey</t>
  </si>
  <si>
    <t>Balıkesir|Edremit</t>
  </si>
  <si>
    <t>Edremit</t>
  </si>
  <si>
    <t>Balıkesir|Erdek</t>
  </si>
  <si>
    <t>Erdek</t>
  </si>
  <si>
    <t>Balıkesir|Gömeç</t>
  </si>
  <si>
    <t>Gömeç</t>
  </si>
  <si>
    <t>Balıkesir|Gönen</t>
  </si>
  <si>
    <t>Gönen</t>
  </si>
  <si>
    <t>Balıkesir|Havran</t>
  </si>
  <si>
    <t>Havran</t>
  </si>
  <si>
    <t>Balıkesir|İvrindi</t>
  </si>
  <si>
    <t>İvrindi</t>
  </si>
  <si>
    <t>Balıkesir|Karesi</t>
  </si>
  <si>
    <t>Karesi</t>
  </si>
  <si>
    <t>Balıkesir|Kepsut</t>
  </si>
  <si>
    <t>Balıkesir|Manyas</t>
  </si>
  <si>
    <t>Balıkesir|Marmara</t>
  </si>
  <si>
    <t>Marmara</t>
  </si>
  <si>
    <t>Balıkesir|Savaştepe</t>
  </si>
  <si>
    <t>Savaştepe</t>
  </si>
  <si>
    <t>Balıkesir|Sındırgı</t>
  </si>
  <si>
    <t>Sındırgı</t>
  </si>
  <si>
    <t>Balıkesir|Susurluk</t>
  </si>
  <si>
    <t>Susurluk</t>
  </si>
  <si>
    <t>Bartın|Amasra</t>
  </si>
  <si>
    <t>Bartın</t>
  </si>
  <si>
    <t>Amasra</t>
  </si>
  <si>
    <t>Bartın|Kurucaşile</t>
  </si>
  <si>
    <t>Kurucaşile</t>
  </si>
  <si>
    <t>Bartın|Merkez</t>
  </si>
  <si>
    <t>Bartın|Ulus</t>
  </si>
  <si>
    <t>Ulus</t>
  </si>
  <si>
    <t>Batman|Beşiri</t>
  </si>
  <si>
    <t>Batman</t>
  </si>
  <si>
    <t>Beşiri</t>
  </si>
  <si>
    <t>Batman|Gercüş</t>
  </si>
  <si>
    <t>Gercüş</t>
  </si>
  <si>
    <t>Batman|Hasankeyf</t>
  </si>
  <si>
    <t>Hasankeyf</t>
  </si>
  <si>
    <t>Batman|Kozluk</t>
  </si>
  <si>
    <t>Kozluk</t>
  </si>
  <si>
    <t>Batman|Merkez</t>
  </si>
  <si>
    <t>Batman|Sason</t>
  </si>
  <si>
    <t>Sason</t>
  </si>
  <si>
    <t>Bayburt|Aydıntepe</t>
  </si>
  <si>
    <t>Bayburt</t>
  </si>
  <si>
    <t>Aydıntepe</t>
  </si>
  <si>
    <t>Bayburt|Demirözü</t>
  </si>
  <si>
    <t>Demirözü</t>
  </si>
  <si>
    <t>Bayburt|Merkez</t>
  </si>
  <si>
    <t>Bilecik|Bozüyük</t>
  </si>
  <si>
    <t>Bilecik</t>
  </si>
  <si>
    <t>Bozüyük</t>
  </si>
  <si>
    <t>Bilecik|Gölpazarı</t>
  </si>
  <si>
    <t>Gölpazarı</t>
  </si>
  <si>
    <t>Bilecik|İnhisar</t>
  </si>
  <si>
    <t>İnhisar</t>
  </si>
  <si>
    <t>Bilecik|Merkez</t>
  </si>
  <si>
    <t>Bilecik|Osmaneli</t>
  </si>
  <si>
    <t>Osmaneli</t>
  </si>
  <si>
    <t>Bilecik|Pazaryeri</t>
  </si>
  <si>
    <t>Pazaryeri</t>
  </si>
  <si>
    <t>Bilecik|Söğüt</t>
  </si>
  <si>
    <t>Söğüt</t>
  </si>
  <si>
    <t>Bilecik|Yenipazar</t>
  </si>
  <si>
    <t>Bingöl|Adaklı</t>
  </si>
  <si>
    <t>Bingöl</t>
  </si>
  <si>
    <t>Adaklı</t>
  </si>
  <si>
    <t>Bingöl|Genç</t>
  </si>
  <si>
    <t>Genç</t>
  </si>
  <si>
    <t>Bingöl|Karlıova</t>
  </si>
  <si>
    <t>Karlıova</t>
  </si>
  <si>
    <t>Bingöl|Kiğı</t>
  </si>
  <si>
    <t>Kiğı</t>
  </si>
  <si>
    <t>Bingöl|Merkez</t>
  </si>
  <si>
    <t>Bingöl|Solhan</t>
  </si>
  <si>
    <t>Solhan</t>
  </si>
  <si>
    <t>Bingöl|Yayladere</t>
  </si>
  <si>
    <t>Yayladere</t>
  </si>
  <si>
    <t>Bingöl|Yedisu</t>
  </si>
  <si>
    <t>Yedisu</t>
  </si>
  <si>
    <t>Bitlis|Adilcevaz</t>
  </si>
  <si>
    <t>Bitlis</t>
  </si>
  <si>
    <t>Adilcevaz</t>
  </si>
  <si>
    <t>Bitlis|Ahlat</t>
  </si>
  <si>
    <t>Ahlat</t>
  </si>
  <si>
    <t>Bitlis|Güroymak</t>
  </si>
  <si>
    <t>Güroymak</t>
  </si>
  <si>
    <t>Bitlis|Hizan</t>
  </si>
  <si>
    <t>Hizan</t>
  </si>
  <si>
    <t>Bitlis|Merkez</t>
  </si>
  <si>
    <t>Bitlis|Mutki</t>
  </si>
  <si>
    <t>Mutki</t>
  </si>
  <si>
    <t>Bitlis|Tatvan</t>
  </si>
  <si>
    <t>Tatvan</t>
  </si>
  <si>
    <t>Bolu|Dörtdivan</t>
  </si>
  <si>
    <t>Bolu</t>
  </si>
  <si>
    <t>Dörtdivan</t>
  </si>
  <si>
    <t>Bolu|Gerede</t>
  </si>
  <si>
    <t>Gerede</t>
  </si>
  <si>
    <t>Bolu|Göynük</t>
  </si>
  <si>
    <t>Göynük</t>
  </si>
  <si>
    <t>Bolu|Kıbrıscık</t>
  </si>
  <si>
    <t>Kıbrıscık</t>
  </si>
  <si>
    <t>Bolu|Mengen</t>
  </si>
  <si>
    <t>Mengen</t>
  </si>
  <si>
    <t>Bolu|Merkez</t>
  </si>
  <si>
    <t>Bolu|Mudurnu</t>
  </si>
  <si>
    <t>Mudurnu</t>
  </si>
  <si>
    <t>Bolu|Seben</t>
  </si>
  <si>
    <t>Seben</t>
  </si>
  <si>
    <t>Bolu|Yeniçağa</t>
  </si>
  <si>
    <t>Yeniçağa</t>
  </si>
  <si>
    <t>Burdur|Ağlasun</t>
  </si>
  <si>
    <t>Burdur</t>
  </si>
  <si>
    <t>Ağlasun</t>
  </si>
  <si>
    <t>Burdur|Altınyayla</t>
  </si>
  <si>
    <t>Altınyayla</t>
  </si>
  <si>
    <t>Burdur|Bucak</t>
  </si>
  <si>
    <t>Bucak</t>
  </si>
  <si>
    <t>Burdur|Çavdır</t>
  </si>
  <si>
    <t>Çavdır</t>
  </si>
  <si>
    <t>Burdur|Çeltikçi</t>
  </si>
  <si>
    <t>Çeltikçi</t>
  </si>
  <si>
    <t>Burdur|Gölhisar</t>
  </si>
  <si>
    <t>Gölhisar</t>
  </si>
  <si>
    <t>Burdur|Karamanlı</t>
  </si>
  <si>
    <t>Karamanlı</t>
  </si>
  <si>
    <t>Burdur|Kemer</t>
  </si>
  <si>
    <t>Burdur|Merkez</t>
  </si>
  <si>
    <t>Burdur|Tefenni</t>
  </si>
  <si>
    <t>Tefenni</t>
  </si>
  <si>
    <t>Burdur|Yeşilova</t>
  </si>
  <si>
    <t>Yeşilova</t>
  </si>
  <si>
    <t>Bursa|Büyükorhan</t>
  </si>
  <si>
    <t>Bursa</t>
  </si>
  <si>
    <t>Büyükorhan</t>
  </si>
  <si>
    <t>Bursa|Gemlik</t>
  </si>
  <si>
    <t>Gemlik</t>
  </si>
  <si>
    <t>Bursa|Gürsu</t>
  </si>
  <si>
    <t>Gürsu</t>
  </si>
  <si>
    <t>Bursa|Harmancık</t>
  </si>
  <si>
    <t>Harmancık</t>
  </si>
  <si>
    <t>Bursa|İnegöl</t>
  </si>
  <si>
    <t>İnegöl</t>
  </si>
  <si>
    <t>Bursa|İznik</t>
  </si>
  <si>
    <t>İznik</t>
  </si>
  <si>
    <t>Bursa|Karacabey</t>
  </si>
  <si>
    <t>Karacabey</t>
  </si>
  <si>
    <t>Bursa|Keles</t>
  </si>
  <si>
    <t>Keles</t>
  </si>
  <si>
    <t>Bursa|Kestel</t>
  </si>
  <si>
    <t>Kestel</t>
  </si>
  <si>
    <t>Bursa|Mudanya</t>
  </si>
  <si>
    <t>Mudanya</t>
  </si>
  <si>
    <t>Bursa|Mustafakemalpaşa</t>
  </si>
  <si>
    <t>Mustafakemalpaşa</t>
  </si>
  <si>
    <t>Bursa|Nilüfer</t>
  </si>
  <si>
    <t>Nilüfer</t>
  </si>
  <si>
    <t>Bursa|Orhaneli</t>
  </si>
  <si>
    <t>Orhaneli</t>
  </si>
  <si>
    <t>Bursa|Orhangazi</t>
  </si>
  <si>
    <t>Orhangazi</t>
  </si>
  <si>
    <t>Bursa|Osmangazi</t>
  </si>
  <si>
    <t>Osmangazi</t>
  </si>
  <si>
    <t>Bursa|Yenişehir</t>
  </si>
  <si>
    <t>Yenişehir</t>
  </si>
  <si>
    <t>Bursa|Yıldırım</t>
  </si>
  <si>
    <t>Yıldırım</t>
  </si>
  <si>
    <t>Çanakkale|Ayvacık</t>
  </si>
  <si>
    <t>Çanakkale</t>
  </si>
  <si>
    <t>Ayvacık</t>
  </si>
  <si>
    <t>Çanakkale|Bayramiç</t>
  </si>
  <si>
    <t>Bayramiç</t>
  </si>
  <si>
    <t>Çanakkale|Biga</t>
  </si>
  <si>
    <t>Biga</t>
  </si>
  <si>
    <t>Çanakkale|Bozcaada</t>
  </si>
  <si>
    <t>Bozcaada</t>
  </si>
  <si>
    <t>Çanakkale|Çan</t>
  </si>
  <si>
    <t>Çan</t>
  </si>
  <si>
    <t>Çanakkale|Eceabat</t>
  </si>
  <si>
    <t>Eceabat</t>
  </si>
  <si>
    <t>Çanakkale|Ezine</t>
  </si>
  <si>
    <t>Ezine</t>
  </si>
  <si>
    <t>Çanakkale|Gelibolu</t>
  </si>
  <si>
    <t>Gelibolu</t>
  </si>
  <si>
    <t>Çanakkale|Gökçeada</t>
  </si>
  <si>
    <t>Gökçeada</t>
  </si>
  <si>
    <t>Çanakkale|Lapseki</t>
  </si>
  <si>
    <t>Lapseki</t>
  </si>
  <si>
    <t>Çanakkale|Merkez</t>
  </si>
  <si>
    <t>Çanakkale|Yenice</t>
  </si>
  <si>
    <t>Yenice</t>
  </si>
  <si>
    <t>Çankırı|Atkaracalar</t>
  </si>
  <si>
    <t>Çankırı</t>
  </si>
  <si>
    <t>Atkaracalar</t>
  </si>
  <si>
    <t>Çankırı|Bayramören</t>
  </si>
  <si>
    <t>Bayramören</t>
  </si>
  <si>
    <t>Çankırı|Çerkeş</t>
  </si>
  <si>
    <t>Çerkeş</t>
  </si>
  <si>
    <t>Çankırı|Eldivan</t>
  </si>
  <si>
    <t>Eldivan</t>
  </si>
  <si>
    <t>Çankırı|Ilgaz</t>
  </si>
  <si>
    <t>Ilgaz</t>
  </si>
  <si>
    <t>Çankırı|Kızılırmak</t>
  </si>
  <si>
    <t>Kızılırmak</t>
  </si>
  <si>
    <t>Çankırı|Korgun</t>
  </si>
  <si>
    <t>Korgun</t>
  </si>
  <si>
    <t>Çankırı|Kurşunlu</t>
  </si>
  <si>
    <t>Kurşunlu</t>
  </si>
  <si>
    <t>Çankırı|Merkez</t>
  </si>
  <si>
    <t>Çankırı|Orta</t>
  </si>
  <si>
    <t>Orta</t>
  </si>
  <si>
    <t>Çankırı|Şabanözü</t>
  </si>
  <si>
    <t>Şabanözü</t>
  </si>
  <si>
    <t>Çankırı|Yapraklı</t>
  </si>
  <si>
    <t>Yapraklı</t>
  </si>
  <si>
    <t>Çorum|Alaca</t>
  </si>
  <si>
    <t>Çorum</t>
  </si>
  <si>
    <t>Alaca</t>
  </si>
  <si>
    <t>Çorum|Bayat</t>
  </si>
  <si>
    <t>Çorum|Boğazkale</t>
  </si>
  <si>
    <t>Boğazkale</t>
  </si>
  <si>
    <t>Çorum|Dodurga</t>
  </si>
  <si>
    <t>Dodurga</t>
  </si>
  <si>
    <t>Çorum|İskilip</t>
  </si>
  <si>
    <t>İskilip</t>
  </si>
  <si>
    <t>Çorum|Kargı</t>
  </si>
  <si>
    <t>Kargı</t>
  </si>
  <si>
    <t>Çorum|Laçin</t>
  </si>
  <si>
    <t>Laçin</t>
  </si>
  <si>
    <t>Çorum|Mecitözü</t>
  </si>
  <si>
    <t>Mecitözü</t>
  </si>
  <si>
    <t>Çorum|Merkez</t>
  </si>
  <si>
    <t>Çorum|Oğuzlar</t>
  </si>
  <si>
    <t>Oğuzlar</t>
  </si>
  <si>
    <t>Çorum|Ortaköy</t>
  </si>
  <si>
    <t>Çorum|Osmancık</t>
  </si>
  <si>
    <t>Osmancık</t>
  </si>
  <si>
    <t>Çorum|Sungurlu</t>
  </si>
  <si>
    <t>Sungurlu</t>
  </si>
  <si>
    <t>Çorum|Uğurludağ</t>
  </si>
  <si>
    <t>Uğurludağ</t>
  </si>
  <si>
    <t>Denizli|Acıpayam</t>
  </si>
  <si>
    <t>Denizli</t>
  </si>
  <si>
    <t>Acıpayam</t>
  </si>
  <si>
    <t>Denizli|Babadağ</t>
  </si>
  <si>
    <t>Babadağ</t>
  </si>
  <si>
    <t>Denizli|Baklan</t>
  </si>
  <si>
    <t>Baklan</t>
  </si>
  <si>
    <t>Denizli|Bekilli</t>
  </si>
  <si>
    <t>Bekilli</t>
  </si>
  <si>
    <t>Denizli|Beyağaç</t>
  </si>
  <si>
    <t>Beyağaç</t>
  </si>
  <si>
    <t>Denizli|Bozkurt</t>
  </si>
  <si>
    <t>Bozkurt</t>
  </si>
  <si>
    <t>Denizli|Buldan</t>
  </si>
  <si>
    <t>Buldan</t>
  </si>
  <si>
    <t>Denizli|Çal</t>
  </si>
  <si>
    <t>Çal</t>
  </si>
  <si>
    <t>Denizli|Çameli</t>
  </si>
  <si>
    <t>Çameli</t>
  </si>
  <si>
    <t>Denizli|Çardak</t>
  </si>
  <si>
    <t>Çardak</t>
  </si>
  <si>
    <t>Denizli|Çivril</t>
  </si>
  <si>
    <t>Çivril</t>
  </si>
  <si>
    <t>Denizli|Güney</t>
  </si>
  <si>
    <t>Güney</t>
  </si>
  <si>
    <t>Denizli|Honaz</t>
  </si>
  <si>
    <t>Honaz</t>
  </si>
  <si>
    <t>Denizli|Kale</t>
  </si>
  <si>
    <t>Kale</t>
  </si>
  <si>
    <t>Denizli|Merkezefendi</t>
  </si>
  <si>
    <t>Merkezefendi</t>
  </si>
  <si>
    <t>Denizli|Pamukkale</t>
  </si>
  <si>
    <t>Pamukkale</t>
  </si>
  <si>
    <t>Denizli|Sarayköy</t>
  </si>
  <si>
    <t>Sarayköy</t>
  </si>
  <si>
    <t>Denizli|Serinhisar</t>
  </si>
  <si>
    <t>Serinhisar</t>
  </si>
  <si>
    <t>Denizli|Tavas</t>
  </si>
  <si>
    <t>Tavas</t>
  </si>
  <si>
    <t>Diyarbakır|Bağlar</t>
  </si>
  <si>
    <t>Diyarbakır</t>
  </si>
  <si>
    <t>Bağlar</t>
  </si>
  <si>
    <t>Diyarbakır|Bismil</t>
  </si>
  <si>
    <t>Bismil</t>
  </si>
  <si>
    <t>Diyarbakır|Çermik</t>
  </si>
  <si>
    <t>Çermik</t>
  </si>
  <si>
    <t>Diyarbakır|Çınar</t>
  </si>
  <si>
    <t>Çınar</t>
  </si>
  <si>
    <t>Diyarbakır|Çüngüş</t>
  </si>
  <si>
    <t>Çüngüş</t>
  </si>
  <si>
    <t>Diyarbakır|Dicle</t>
  </si>
  <si>
    <t>Dicle</t>
  </si>
  <si>
    <t>Diyarbakır|Eğil</t>
  </si>
  <si>
    <t>Eğil</t>
  </si>
  <si>
    <t>Diyarbakır|Ergani</t>
  </si>
  <si>
    <t>Ergani</t>
  </si>
  <si>
    <t>Diyarbakır|Hani</t>
  </si>
  <si>
    <t>Hani</t>
  </si>
  <si>
    <t>Diyarbakır|Hazro</t>
  </si>
  <si>
    <t>Hazro</t>
  </si>
  <si>
    <t>Diyarbakır|Kayapınar</t>
  </si>
  <si>
    <t>Kayapınar</t>
  </si>
  <si>
    <t>Diyarbakır|Kocaköy</t>
  </si>
  <si>
    <t>Kocaköy</t>
  </si>
  <si>
    <t>Diyarbakır|Kulp</t>
  </si>
  <si>
    <t>Kulp</t>
  </si>
  <si>
    <t>Diyarbakır|Lice</t>
  </si>
  <si>
    <t>Lice</t>
  </si>
  <si>
    <t>Diyarbakır|Silvan</t>
  </si>
  <si>
    <t>Silvan</t>
  </si>
  <si>
    <t>Diyarbakır|Sur</t>
  </si>
  <si>
    <t>Sur</t>
  </si>
  <si>
    <t>Diyarbakır|Yenişehir</t>
  </si>
  <si>
    <t>Düzce|Akçakoca</t>
  </si>
  <si>
    <t>Düzce</t>
  </si>
  <si>
    <t>Akçakoca</t>
  </si>
  <si>
    <t>Düzce|Cumayeri</t>
  </si>
  <si>
    <t>Cumayeri</t>
  </si>
  <si>
    <t>Düzce|Çilimli</t>
  </si>
  <si>
    <t>Çilimli</t>
  </si>
  <si>
    <t>Düzce|Gölyaka</t>
  </si>
  <si>
    <t>Gölyaka</t>
  </si>
  <si>
    <t>Düzce|Gümüşova</t>
  </si>
  <si>
    <t>Gümüşova</t>
  </si>
  <si>
    <t>Düzce|Kaynaşlı</t>
  </si>
  <si>
    <t>Kaynaşlı</t>
  </si>
  <si>
    <t>Düzce|Merkez</t>
  </si>
  <si>
    <t>Düzce|Yığılca</t>
  </si>
  <si>
    <t>Yığılca</t>
  </si>
  <si>
    <t>Edirne|Enez</t>
  </si>
  <si>
    <t>Edirne</t>
  </si>
  <si>
    <t>Enez</t>
  </si>
  <si>
    <t>Edirne|Havsa</t>
  </si>
  <si>
    <t>Havsa</t>
  </si>
  <si>
    <t>Edirne|İpsala</t>
  </si>
  <si>
    <t>İpsala</t>
  </si>
  <si>
    <t>Edirne|Keşan</t>
  </si>
  <si>
    <t>Keşan</t>
  </si>
  <si>
    <t>Edirne|Lalapaşa</t>
  </si>
  <si>
    <t>Lalapaşa</t>
  </si>
  <si>
    <t>Edirne|Meriç</t>
  </si>
  <si>
    <t>Meriç</t>
  </si>
  <si>
    <t>Edirne|Merkez</t>
  </si>
  <si>
    <t>Edirne|Süloğlu</t>
  </si>
  <si>
    <t>Süloğlu</t>
  </si>
  <si>
    <t>Edirne|Uzunköprü</t>
  </si>
  <si>
    <t>Uzunköprü</t>
  </si>
  <si>
    <t>Elazığ|Ağın</t>
  </si>
  <si>
    <t>Elazığ</t>
  </si>
  <si>
    <t>Ağın</t>
  </si>
  <si>
    <t>Elazığ|Alacakaya</t>
  </si>
  <si>
    <t>Alacakaya</t>
  </si>
  <si>
    <t>Elazığ|Arıcak</t>
  </si>
  <si>
    <t>Arıcak</t>
  </si>
  <si>
    <t>Elazığ|Baskil</t>
  </si>
  <si>
    <t>Baskil</t>
  </si>
  <si>
    <t>Elazığ|Karakoçan</t>
  </si>
  <si>
    <t>Karakoçan</t>
  </si>
  <si>
    <t>Elazığ|Keban</t>
  </si>
  <si>
    <t>Keban</t>
  </si>
  <si>
    <t>Elazığ|Kovancılar</t>
  </si>
  <si>
    <t>Kovancılar</t>
  </si>
  <si>
    <t>Elazığ|Maden</t>
  </si>
  <si>
    <t>Maden</t>
  </si>
  <si>
    <t>Elazığ|Merkez</t>
  </si>
  <si>
    <t>Elazığ|Palu</t>
  </si>
  <si>
    <t>Palu</t>
  </si>
  <si>
    <t>Elazığ|Sivrice</t>
  </si>
  <si>
    <t>Sivrice</t>
  </si>
  <si>
    <t>Erzincan|Çayırlı</t>
  </si>
  <si>
    <t>Erzincan</t>
  </si>
  <si>
    <t>Çayırlı</t>
  </si>
  <si>
    <t>Erzincan|İliç</t>
  </si>
  <si>
    <t>İliç</t>
  </si>
  <si>
    <t>Erzincan|Kemah</t>
  </si>
  <si>
    <t>Kemah</t>
  </si>
  <si>
    <t>Erzincan|Kemaliye</t>
  </si>
  <si>
    <t>Kemaliye</t>
  </si>
  <si>
    <t>Erzincan|Merkez</t>
  </si>
  <si>
    <t>Erzincan|Otlukbeli</t>
  </si>
  <si>
    <t>Otlukbeli</t>
  </si>
  <si>
    <t>Erzincan|Refahiye</t>
  </si>
  <si>
    <t>Refahiye</t>
  </si>
  <si>
    <t>Erzincan|Tercan</t>
  </si>
  <si>
    <t>Tercan</t>
  </si>
  <si>
    <t>Erzincan|Üzümlü</t>
  </si>
  <si>
    <t>Üzümlü</t>
  </si>
  <si>
    <t>Erzurum|Aşkale</t>
  </si>
  <si>
    <t>Erzurum</t>
  </si>
  <si>
    <t>Aşkale</t>
  </si>
  <si>
    <t>Erzurum|Aziziye</t>
  </si>
  <si>
    <t>Aziziye</t>
  </si>
  <si>
    <t>Erzurum|Çat</t>
  </si>
  <si>
    <t>Çat</t>
  </si>
  <si>
    <t>Erzurum|Hınıs</t>
  </si>
  <si>
    <t>Hınıs</t>
  </si>
  <si>
    <t>Erzurum|Horasan</t>
  </si>
  <si>
    <t>Horasan</t>
  </si>
  <si>
    <t>Erzurum|İspir</t>
  </si>
  <si>
    <t>İspir</t>
  </si>
  <si>
    <t>Erzurum|Karaçoban</t>
  </si>
  <si>
    <t>Karaçoban</t>
  </si>
  <si>
    <t>Erzurum|Karayazı</t>
  </si>
  <si>
    <t>Karayazı</t>
  </si>
  <si>
    <t>Erzurum|Köprüköy</t>
  </si>
  <si>
    <t>Köprüköy</t>
  </si>
  <si>
    <t>Erzurum|Narman</t>
  </si>
  <si>
    <t>Narman</t>
  </si>
  <si>
    <t>Erzurum|Oltu</t>
  </si>
  <si>
    <t>Oltu</t>
  </si>
  <si>
    <t>Erzurum|Olur</t>
  </si>
  <si>
    <t>Olur</t>
  </si>
  <si>
    <t>Erzurum|Palandöken</t>
  </si>
  <si>
    <t>Palandöken</t>
  </si>
  <si>
    <t>Erzurum|Pasinler</t>
  </si>
  <si>
    <t>Pasinler</t>
  </si>
  <si>
    <t>Erzurum|Pazaryolu</t>
  </si>
  <si>
    <t>Pazaryolu</t>
  </si>
  <si>
    <t>Erzurum|Şenkaya</t>
  </si>
  <si>
    <t>Şenkaya</t>
  </si>
  <si>
    <t>Erzurum|Tekman</t>
  </si>
  <si>
    <t>Tekman</t>
  </si>
  <si>
    <t>Erzurum|Tortum</t>
  </si>
  <si>
    <t>Tortum</t>
  </si>
  <si>
    <t>Erzurum|Uzundere</t>
  </si>
  <si>
    <t>Uzundere</t>
  </si>
  <si>
    <t>Erzurum|Yakutiye</t>
  </si>
  <si>
    <t>Yakutiye</t>
  </si>
  <si>
    <t>Eskişehir|Alpu</t>
  </si>
  <si>
    <t>Eskişehir</t>
  </si>
  <si>
    <t>Alpu</t>
  </si>
  <si>
    <t>Eskişehir|Beylikova</t>
  </si>
  <si>
    <t>Beylikova</t>
  </si>
  <si>
    <t>Eskişehir|Çifteler</t>
  </si>
  <si>
    <t>Çifteler</t>
  </si>
  <si>
    <t>Eskişehir|Günyüzü</t>
  </si>
  <si>
    <t>Günyüzü</t>
  </si>
  <si>
    <t>Eskişehir|Han</t>
  </si>
  <si>
    <t>Han</t>
  </si>
  <si>
    <t>Eskişehir|İnönü</t>
  </si>
  <si>
    <t>İnönü</t>
  </si>
  <si>
    <t>Eskişehir|Mahmudiye</t>
  </si>
  <si>
    <t>Mahmudiye</t>
  </si>
  <si>
    <t>Eskişehir|Mihalgazi</t>
  </si>
  <si>
    <t>Mihalgazi</t>
  </si>
  <si>
    <t>Eskişehir|Mihalıççık</t>
  </si>
  <si>
    <t>Mihalıççık</t>
  </si>
  <si>
    <t>Eskişehir|Odunpazarı</t>
  </si>
  <si>
    <t>Odunpazarı</t>
  </si>
  <si>
    <t>Eskişehir|Sarıcakaya</t>
  </si>
  <si>
    <t>Sarıcakaya</t>
  </si>
  <si>
    <t>Eskişehir|Seyitgazi</t>
  </si>
  <si>
    <t>Seyitgazi</t>
  </si>
  <si>
    <t>Eskişehir|Sivrihisar</t>
  </si>
  <si>
    <t>Sivrihisar</t>
  </si>
  <si>
    <t>Eskişehir|Tepebaşı</t>
  </si>
  <si>
    <t>Tepebaşı</t>
  </si>
  <si>
    <t>Gaziantep|Araban</t>
  </si>
  <si>
    <t>Gaziantep</t>
  </si>
  <si>
    <t>Araban</t>
  </si>
  <si>
    <t>Gaziantep|İslahiye</t>
  </si>
  <si>
    <t>İslahiye</t>
  </si>
  <si>
    <t>Gaziantep|Karkamış</t>
  </si>
  <si>
    <t>Karkamış</t>
  </si>
  <si>
    <t>Gaziantep|Nizip</t>
  </si>
  <si>
    <t>Nizip</t>
  </si>
  <si>
    <t>Gaziantep|Nurdağı</t>
  </si>
  <si>
    <t>Nurdağı</t>
  </si>
  <si>
    <t>Gaziantep|Oğuzeli</t>
  </si>
  <si>
    <t>Oğuzeli</t>
  </si>
  <si>
    <t>Gaziantep|Şahinbey</t>
  </si>
  <si>
    <t>Şahinbey</t>
  </si>
  <si>
    <t>Gaziantep|Şehitkamil</t>
  </si>
  <si>
    <t>Şehitkamil</t>
  </si>
  <si>
    <t>Gaziantep|Yavuzeli</t>
  </si>
  <si>
    <t>Yavuzeli</t>
  </si>
  <si>
    <t>Giresun|Alucra</t>
  </si>
  <si>
    <t>Alucra</t>
  </si>
  <si>
    <t>Giresun|Bulancak</t>
  </si>
  <si>
    <t>Bulancak</t>
  </si>
  <si>
    <t>Giresun|Çamoluk</t>
  </si>
  <si>
    <t>Çamoluk</t>
  </si>
  <si>
    <t>Giresun|Çanakçı</t>
  </si>
  <si>
    <t>Çanakçı</t>
  </si>
  <si>
    <t>Giresun|Dereli</t>
  </si>
  <si>
    <t>Dereli</t>
  </si>
  <si>
    <t>Giresun|Doğankent</t>
  </si>
  <si>
    <t>Doğankent</t>
  </si>
  <si>
    <t>Giresun|Espiye</t>
  </si>
  <si>
    <t>Espiye</t>
  </si>
  <si>
    <t>Giresun|Eynesil</t>
  </si>
  <si>
    <t>Eynesil</t>
  </si>
  <si>
    <t>Giresun|Görele</t>
  </si>
  <si>
    <t>Görele</t>
  </si>
  <si>
    <t>Giresun|Güce</t>
  </si>
  <si>
    <t>Güce</t>
  </si>
  <si>
    <t>Giresun|Keşap</t>
  </si>
  <si>
    <t>Keşap</t>
  </si>
  <si>
    <t>Giresun|Merkez</t>
  </si>
  <si>
    <t>Giresun|Piraziz</t>
  </si>
  <si>
    <t>Piraziz</t>
  </si>
  <si>
    <t>Giresun|Şebinkarahisar</t>
  </si>
  <si>
    <t>Şebinkarahisar</t>
  </si>
  <si>
    <t>Giresun|Tirebolu</t>
  </si>
  <si>
    <t>Tirebolu</t>
  </si>
  <si>
    <t>Giresun|Yağlıdere</t>
  </si>
  <si>
    <t>Yağlıdere</t>
  </si>
  <si>
    <t>Gümüşhane|Kelkit</t>
  </si>
  <si>
    <t>Gümüşhane</t>
  </si>
  <si>
    <t>Kelkit</t>
  </si>
  <si>
    <t>Gümüşhane|Köse</t>
  </si>
  <si>
    <t>Köse</t>
  </si>
  <si>
    <t>Gümüşhane|Kürtün</t>
  </si>
  <si>
    <t>Kürtün</t>
  </si>
  <si>
    <t>Gümüşhane|Merkez</t>
  </si>
  <si>
    <t>Gümüşhane|Şiran</t>
  </si>
  <si>
    <t>Şiran</t>
  </si>
  <si>
    <t>Gümüşhane|Torul</t>
  </si>
  <si>
    <t>Torul</t>
  </si>
  <si>
    <t>Hakkari|Çukurca</t>
  </si>
  <si>
    <t>Hakkari</t>
  </si>
  <si>
    <t>Çukurca</t>
  </si>
  <si>
    <t>Hakkari|Derecik</t>
  </si>
  <si>
    <t>Derecik</t>
  </si>
  <si>
    <t>Hakkari|Merkez</t>
  </si>
  <si>
    <t>Hakkari|Şemdinli</t>
  </si>
  <si>
    <t>Şemdinli</t>
  </si>
  <si>
    <t>Hakkari|Yüksekova</t>
  </si>
  <si>
    <t>Yüksekova</t>
  </si>
  <si>
    <t>Hatay|Altınözü</t>
  </si>
  <si>
    <t>Hatay</t>
  </si>
  <si>
    <t>Altınözü</t>
  </si>
  <si>
    <t>Hatay|Antakya</t>
  </si>
  <si>
    <t>Antakya</t>
  </si>
  <si>
    <t>Hatay|Arsuz</t>
  </si>
  <si>
    <t>Arsuz</t>
  </si>
  <si>
    <t>Hatay|Belen</t>
  </si>
  <si>
    <t>Belen</t>
  </si>
  <si>
    <t>Hatay|Defne</t>
  </si>
  <si>
    <t>Defne</t>
  </si>
  <si>
    <t>Hatay|Dörtyol</t>
  </si>
  <si>
    <t>Dörtyol</t>
  </si>
  <si>
    <t>Hatay|Erzin</t>
  </si>
  <si>
    <t>Erzin</t>
  </si>
  <si>
    <t>Hatay|Hassa</t>
  </si>
  <si>
    <t>Hassa</t>
  </si>
  <si>
    <t>Hatay|İskenderun</t>
  </si>
  <si>
    <t>İskenderun</t>
  </si>
  <si>
    <t>Hatay|Kırıkhan</t>
  </si>
  <si>
    <t>Kırıkhan</t>
  </si>
  <si>
    <t>Hatay|Kumlu</t>
  </si>
  <si>
    <t>Kumlu</t>
  </si>
  <si>
    <t>Hatay|Payas</t>
  </si>
  <si>
    <t>Payas</t>
  </si>
  <si>
    <t>Hatay|Reyhanlı</t>
  </si>
  <si>
    <t>Reyhanlı</t>
  </si>
  <si>
    <t>Hatay|Samandağ</t>
  </si>
  <si>
    <t>Samandağ</t>
  </si>
  <si>
    <t>Hatay|Yayladağı</t>
  </si>
  <si>
    <t>Yayladağı</t>
  </si>
  <si>
    <t>Iğdır|Aralık</t>
  </si>
  <si>
    <t>Iğdır</t>
  </si>
  <si>
    <t>Aralık</t>
  </si>
  <si>
    <t>Iğdır|Karakoyunlu</t>
  </si>
  <si>
    <t>Karakoyunlu</t>
  </si>
  <si>
    <t>Iğdır|Merkez</t>
  </si>
  <si>
    <t>Iğdır|Tuzluca</t>
  </si>
  <si>
    <t>Tuzluca</t>
  </si>
  <si>
    <t>Isparta|Aksu</t>
  </si>
  <si>
    <t>Isparta</t>
  </si>
  <si>
    <t>Isparta|Atabey</t>
  </si>
  <si>
    <t>Atabey</t>
  </si>
  <si>
    <t>Isparta|Eğirdir</t>
  </si>
  <si>
    <t>Eğirdir</t>
  </si>
  <si>
    <t>Isparta|Gelendost</t>
  </si>
  <si>
    <t>Gelendost</t>
  </si>
  <si>
    <t>Isparta|Gönen</t>
  </si>
  <si>
    <t>Isparta|Keçiborlu</t>
  </si>
  <si>
    <t>Keçiborlu</t>
  </si>
  <si>
    <t>Isparta|Merkez</t>
  </si>
  <si>
    <t>Isparta|Senirkent</t>
  </si>
  <si>
    <t>Senirkent</t>
  </si>
  <si>
    <t>Isparta|Sütçüler</t>
  </si>
  <si>
    <t>Sütçüler</t>
  </si>
  <si>
    <t>Isparta|Şarkikaraağaç</t>
  </si>
  <si>
    <t>Şarkikaraağaç</t>
  </si>
  <si>
    <t>Isparta|Uluborlu</t>
  </si>
  <si>
    <t>Uluborlu</t>
  </si>
  <si>
    <t>Isparta|Yalvaç</t>
  </si>
  <si>
    <t>Yalvaç</t>
  </si>
  <si>
    <t>Isparta|Yenişarbademli</t>
  </si>
  <si>
    <t>Yenişarbademli</t>
  </si>
  <si>
    <t>İstanbul|Adalar</t>
  </si>
  <si>
    <t>İstanbul</t>
  </si>
  <si>
    <t>Adalar</t>
  </si>
  <si>
    <t>İstanbul|Arnavutköy</t>
  </si>
  <si>
    <t>Arnavutköy</t>
  </si>
  <si>
    <t>İstanbul|Ataşehir</t>
  </si>
  <si>
    <t>Ataşehir</t>
  </si>
  <si>
    <t>İstanbul|Avcılar</t>
  </si>
  <si>
    <t>Avcılar</t>
  </si>
  <si>
    <t>İstanbul|Bağcılar</t>
  </si>
  <si>
    <t>Bağcılar</t>
  </si>
  <si>
    <t>İstanbul|Bahçelievler</t>
  </si>
  <si>
    <t>Bahçelievler</t>
  </si>
  <si>
    <t>İstanbul|Bakırköy</t>
  </si>
  <si>
    <t>Bakırköy</t>
  </si>
  <si>
    <t>İstanbul|Başakşehir</t>
  </si>
  <si>
    <t>Başakşehir</t>
  </si>
  <si>
    <t>İstanbul|Bayrampaşa</t>
  </si>
  <si>
    <t>Bayrampaşa</t>
  </si>
  <si>
    <t>İstanbul|Beşiktaş</t>
  </si>
  <si>
    <t>Beşiktaş</t>
  </si>
  <si>
    <t>İstanbul|Beykoz</t>
  </si>
  <si>
    <t>Beykoz</t>
  </si>
  <si>
    <t>İstanbul|Beylikdüzü</t>
  </si>
  <si>
    <t>Beylikdüzü</t>
  </si>
  <si>
    <t>İstanbul|Beyoğlu</t>
  </si>
  <si>
    <t>Beyoğlu</t>
  </si>
  <si>
    <t>İstanbul|Büyükçekmece</t>
  </si>
  <si>
    <t>Büyükçekmece</t>
  </si>
  <si>
    <t>İstanbul|Çatalca</t>
  </si>
  <si>
    <t>Çatalca</t>
  </si>
  <si>
    <t>İstanbul|Çekmeköy</t>
  </si>
  <si>
    <t>Çekmeköy</t>
  </si>
  <si>
    <t>İstanbul|Esenler</t>
  </si>
  <si>
    <t>Esenler</t>
  </si>
  <si>
    <t>İstanbul|Esenyurt</t>
  </si>
  <si>
    <t>Esenyurt</t>
  </si>
  <si>
    <t>İstanbul|Eyüpsultan</t>
  </si>
  <si>
    <t>Eyüpsultan</t>
  </si>
  <si>
    <t>İstanbul|Fatih</t>
  </si>
  <si>
    <t>Fatih</t>
  </si>
  <si>
    <t>İstanbul|Gaziosmanpaşa</t>
  </si>
  <si>
    <t>Gaziosmanpaşa</t>
  </si>
  <si>
    <t>İstanbul|Güngören</t>
  </si>
  <si>
    <t>Güngören</t>
  </si>
  <si>
    <t>İstanbul|Kadıköy</t>
  </si>
  <si>
    <t>Kadıköy</t>
  </si>
  <si>
    <t>İstanbul|Kağıthane</t>
  </si>
  <si>
    <t>Kağıthane</t>
  </si>
  <si>
    <t>İstanbul|Kartal</t>
  </si>
  <si>
    <t>Kartal</t>
  </si>
  <si>
    <t>İstanbul|Küçükçekmece</t>
  </si>
  <si>
    <t>Küçükçekmece</t>
  </si>
  <si>
    <t>İstanbul|Maltepe</t>
  </si>
  <si>
    <t>Maltepe</t>
  </si>
  <si>
    <t>İstanbul|Pendik</t>
  </si>
  <si>
    <t>Pendik</t>
  </si>
  <si>
    <t>İstanbul|Sancaktepe</t>
  </si>
  <si>
    <t>Sancaktepe</t>
  </si>
  <si>
    <t>İstanbul|Sarıyer</t>
  </si>
  <si>
    <t>Sarıyer</t>
  </si>
  <si>
    <t>İstanbul|Silivri</t>
  </si>
  <si>
    <t>Silivri</t>
  </si>
  <si>
    <t>İstanbul|Sultanbeyli</t>
  </si>
  <si>
    <t>Sultanbeyli</t>
  </si>
  <si>
    <t>İstanbul|Sultangazi</t>
  </si>
  <si>
    <t>Sultangazi</t>
  </si>
  <si>
    <t>İstanbul|Şile</t>
  </si>
  <si>
    <t>Şile</t>
  </si>
  <si>
    <t>İstanbul|Şişli</t>
  </si>
  <si>
    <t>Şişli</t>
  </si>
  <si>
    <t>İstanbul|Tuzla</t>
  </si>
  <si>
    <t>Tuzla</t>
  </si>
  <si>
    <t>İstanbul|Ümraniye</t>
  </si>
  <si>
    <t>Ümraniye</t>
  </si>
  <si>
    <t>İstanbul|Üsküdar</t>
  </si>
  <si>
    <t>Üsküdar</t>
  </si>
  <si>
    <t>İstanbul|Zeytinburnu</t>
  </si>
  <si>
    <t>Zeytinburnu</t>
  </si>
  <si>
    <t>İzmir|Aliağa</t>
  </si>
  <si>
    <t>Aliağa</t>
  </si>
  <si>
    <t>İzmir|Balçova</t>
  </si>
  <si>
    <t>Balçova</t>
  </si>
  <si>
    <t>İzmir|Bayındır</t>
  </si>
  <si>
    <t>Bayındır</t>
  </si>
  <si>
    <t>İzmir|Bayraklı</t>
  </si>
  <si>
    <t>Bayraklı</t>
  </si>
  <si>
    <t>İzmir|Bergama</t>
  </si>
  <si>
    <t>Bergama</t>
  </si>
  <si>
    <t>İzmir|Beydağ</t>
  </si>
  <si>
    <t>Beydağ</t>
  </si>
  <si>
    <t>İzmir|Bornova</t>
  </si>
  <si>
    <t>Bornova</t>
  </si>
  <si>
    <t>İzmir|Buca</t>
  </si>
  <si>
    <t>Buca</t>
  </si>
  <si>
    <t>İzmir|Çeşme</t>
  </si>
  <si>
    <t>Çeşme</t>
  </si>
  <si>
    <t>İzmir|Çiğli</t>
  </si>
  <si>
    <t>Çiğli</t>
  </si>
  <si>
    <t>İzmir|Dikili</t>
  </si>
  <si>
    <t>Dikili</t>
  </si>
  <si>
    <t>İzmir|Foça</t>
  </si>
  <si>
    <t>Foça</t>
  </si>
  <si>
    <t>İzmir|Gaziemir</t>
  </si>
  <si>
    <t>Gaziemir</t>
  </si>
  <si>
    <t>İzmir|Güzelbahçe</t>
  </si>
  <si>
    <t>Güzelbahçe</t>
  </si>
  <si>
    <t>İzmir|Karabağlar</t>
  </si>
  <si>
    <t>Karabağlar</t>
  </si>
  <si>
    <t>İzmir|Karaburun</t>
  </si>
  <si>
    <t>Karaburun</t>
  </si>
  <si>
    <t>İzmir|Karşıyaka</t>
  </si>
  <si>
    <t>Karşıyaka</t>
  </si>
  <si>
    <t>İzmir|Kemalpaşa</t>
  </si>
  <si>
    <t>İzmir|Kınık</t>
  </si>
  <si>
    <t>Kınık</t>
  </si>
  <si>
    <t>İzmir|Kiraz</t>
  </si>
  <si>
    <t>Kiraz</t>
  </si>
  <si>
    <t>İzmir|Konak</t>
  </si>
  <si>
    <t>Konak</t>
  </si>
  <si>
    <t>İzmir|Menderes</t>
  </si>
  <si>
    <t>Menderes</t>
  </si>
  <si>
    <t>İzmir|Menemen</t>
  </si>
  <si>
    <t>Menemen</t>
  </si>
  <si>
    <t>İzmir|Narlıdere</t>
  </si>
  <si>
    <t>Narlıdere</t>
  </si>
  <si>
    <t>İzmir|Ödemiş</t>
  </si>
  <si>
    <t>İzmir|Seferihisar</t>
  </si>
  <si>
    <t>Seferihisar</t>
  </si>
  <si>
    <t>İzmir|Selçuk</t>
  </si>
  <si>
    <t>Selçuk</t>
  </si>
  <si>
    <t>İzmir|Tire</t>
  </si>
  <si>
    <t>Tire</t>
  </si>
  <si>
    <t>İzmir|Torbalı</t>
  </si>
  <si>
    <t>Torbalı</t>
  </si>
  <si>
    <t>İzmir|Urla</t>
  </si>
  <si>
    <t>Urla</t>
  </si>
  <si>
    <t>Kahramanmaraş|Afşin</t>
  </si>
  <si>
    <t>Kahramanmaraş</t>
  </si>
  <si>
    <t>Afşin</t>
  </si>
  <si>
    <t>Kahramanmaraş|Andırın</t>
  </si>
  <si>
    <t>Andırın</t>
  </si>
  <si>
    <t>Kahramanmaraş|Çağlayancerit</t>
  </si>
  <si>
    <t>Çağlayancerit</t>
  </si>
  <si>
    <t>Kahramanmaraş|Dulkadiroğlu</t>
  </si>
  <si>
    <t>Dulkadiroğlu</t>
  </si>
  <si>
    <t>Kahramanmaraş|Ekinözü</t>
  </si>
  <si>
    <t>Ekinözü</t>
  </si>
  <si>
    <t>Kahramanmaraş|Elbistan</t>
  </si>
  <si>
    <t>Elbistan</t>
  </si>
  <si>
    <t>Kahramanmaraş|Göksun</t>
  </si>
  <si>
    <t>Göksun</t>
  </si>
  <si>
    <t>Kahramanmaraş|Nurhak</t>
  </si>
  <si>
    <t>Nurhak</t>
  </si>
  <si>
    <t>Kahramanmaraş|Onikişubat</t>
  </si>
  <si>
    <t>Onikişubat</t>
  </si>
  <si>
    <t>Kahramanmaraş|Pazarcık</t>
  </si>
  <si>
    <t>Pazarcık</t>
  </si>
  <si>
    <t>Kahramanmaraş|Türkoğlu</t>
  </si>
  <si>
    <t>Türkoğlu</t>
  </si>
  <si>
    <t>Karabük|Eflani</t>
  </si>
  <si>
    <t>Karabük</t>
  </si>
  <si>
    <t>Eflani</t>
  </si>
  <si>
    <t>Karabük|Eskipazar</t>
  </si>
  <si>
    <t>Eskipazar</t>
  </si>
  <si>
    <t>Karabük|Merkez</t>
  </si>
  <si>
    <t>Karabük|Ovacık</t>
  </si>
  <si>
    <t>Ovacık</t>
  </si>
  <si>
    <t>Karabük|Safranbolu</t>
  </si>
  <si>
    <t>Safranbolu</t>
  </si>
  <si>
    <t>Karabük|Yenice</t>
  </si>
  <si>
    <t>Karaman|Ayrancı</t>
  </si>
  <si>
    <t>Karaman</t>
  </si>
  <si>
    <t>Ayrancı</t>
  </si>
  <si>
    <t>Karaman|Başyayla</t>
  </si>
  <si>
    <t>Başyayla</t>
  </si>
  <si>
    <t>Karaman|Ermenek</t>
  </si>
  <si>
    <t>Ermenek</t>
  </si>
  <si>
    <t>Karaman|Kazımkarabekir</t>
  </si>
  <si>
    <t>Kazımkarabekir</t>
  </si>
  <si>
    <t>Karaman|Merkez</t>
  </si>
  <si>
    <t>Karaman|Sarıveliler</t>
  </si>
  <si>
    <t>Sarıveliler</t>
  </si>
  <si>
    <t>Kars|Akyaka</t>
  </si>
  <si>
    <t>Kars</t>
  </si>
  <si>
    <t>Akyaka</t>
  </si>
  <si>
    <t>Kars|Arpaçay</t>
  </si>
  <si>
    <t>Arpaçay</t>
  </si>
  <si>
    <t>Kars|Digor</t>
  </si>
  <si>
    <t>Digor</t>
  </si>
  <si>
    <t>Kars|Kağızman</t>
  </si>
  <si>
    <t>Kağızman</t>
  </si>
  <si>
    <t>Kars|Merkez</t>
  </si>
  <si>
    <t>Kars|Sarıkamış</t>
  </si>
  <si>
    <t>Sarıkamış</t>
  </si>
  <si>
    <t>Kars|Selim</t>
  </si>
  <si>
    <t>Selim</t>
  </si>
  <si>
    <t>Kars|Susuz</t>
  </si>
  <si>
    <t>Susuz</t>
  </si>
  <si>
    <t>Kastamonu|Abana</t>
  </si>
  <si>
    <t>Kastamonu</t>
  </si>
  <si>
    <t>Abana</t>
  </si>
  <si>
    <t>Kastamonu|Ağlı</t>
  </si>
  <si>
    <t>Ağlı</t>
  </si>
  <si>
    <t>Kastamonu|Araç</t>
  </si>
  <si>
    <t>Araç</t>
  </si>
  <si>
    <t>Kastamonu|Azdavay</t>
  </si>
  <si>
    <t>Azdavay</t>
  </si>
  <si>
    <t>Kastamonu|Bozkurt</t>
  </si>
  <si>
    <t>Kastamonu|Cide</t>
  </si>
  <si>
    <t>Cide</t>
  </si>
  <si>
    <t>Kastamonu|Çatalzeytin</t>
  </si>
  <si>
    <t>Çatalzeytin</t>
  </si>
  <si>
    <t>Kastamonu|Daday</t>
  </si>
  <si>
    <t>Daday</t>
  </si>
  <si>
    <t>Kastamonu|Devrekani</t>
  </si>
  <si>
    <t>Devrekani</t>
  </si>
  <si>
    <t>Kastamonu|Doğanyurt</t>
  </si>
  <si>
    <t>Doğanyurt</t>
  </si>
  <si>
    <t>Kastamonu|Hanönü</t>
  </si>
  <si>
    <t>Hanönü</t>
  </si>
  <si>
    <t>Kastamonu|İhsangazi</t>
  </si>
  <si>
    <t>İhsangazi</t>
  </si>
  <si>
    <t>Kastamonu|İnebolu</t>
  </si>
  <si>
    <t>İnebolu</t>
  </si>
  <si>
    <t>Kastamonu|Küre</t>
  </si>
  <si>
    <t>Küre</t>
  </si>
  <si>
    <t>Kastamonu|Merkez</t>
  </si>
  <si>
    <t>Kastamonu|Pınarbaşı</t>
  </si>
  <si>
    <t>Pınarbaşı</t>
  </si>
  <si>
    <t>Kastamonu|Seydiler</t>
  </si>
  <si>
    <t>Seydiler</t>
  </si>
  <si>
    <t>Kastamonu|Şenpazar</t>
  </si>
  <si>
    <t>Şenpazar</t>
  </si>
  <si>
    <t>Kastamonu|Taşköprü</t>
  </si>
  <si>
    <t>Taşköprü</t>
  </si>
  <si>
    <t>Kastamonu|Tosya</t>
  </si>
  <si>
    <t>Tosya</t>
  </si>
  <si>
    <t>Kayseri|Akkışla</t>
  </si>
  <si>
    <t>Kayseri</t>
  </si>
  <si>
    <t>Akkışla</t>
  </si>
  <si>
    <t>Kayseri|Bünyan</t>
  </si>
  <si>
    <t>Bünyan</t>
  </si>
  <si>
    <t>Kayseri|Develi</t>
  </si>
  <si>
    <t>Develi</t>
  </si>
  <si>
    <t>Kayseri|Felahiye</t>
  </si>
  <si>
    <t>Felahiye</t>
  </si>
  <si>
    <t>Kayseri|Hacılar</t>
  </si>
  <si>
    <t>Hacılar</t>
  </si>
  <si>
    <t>Kayseri|İncesu</t>
  </si>
  <si>
    <t>İncesu</t>
  </si>
  <si>
    <t>Kayseri|Kocasinan</t>
  </si>
  <si>
    <t>Kocasinan</t>
  </si>
  <si>
    <t>Kayseri|Melikgazi</t>
  </si>
  <si>
    <t>Melikgazi</t>
  </si>
  <si>
    <t>Kayseri|Özvatan</t>
  </si>
  <si>
    <t>Özvatan</t>
  </si>
  <si>
    <t>Kayseri|Pınarbaşı</t>
  </si>
  <si>
    <t>Kayseri|Sarıoğlan</t>
  </si>
  <si>
    <t>Sarıoğlan</t>
  </si>
  <si>
    <t>Kayseri|Sarız</t>
  </si>
  <si>
    <t>Sarız</t>
  </si>
  <si>
    <t>Kayseri|Talas</t>
  </si>
  <si>
    <t>Talas</t>
  </si>
  <si>
    <t>Kayseri|Tomarza</t>
  </si>
  <si>
    <t>Tomarza</t>
  </si>
  <si>
    <t>Kayseri|Yahyalı</t>
  </si>
  <si>
    <t>Yahyalı</t>
  </si>
  <si>
    <t>Kayseri|Yeşilhisar</t>
  </si>
  <si>
    <t>Yeşilhisar</t>
  </si>
  <si>
    <t>Kırıkkale|Bahşili</t>
  </si>
  <si>
    <t>Kırıkkale</t>
  </si>
  <si>
    <t>Bahşili</t>
  </si>
  <si>
    <t>Kırıkkale|Balışeyh</t>
  </si>
  <si>
    <t>Balışeyh</t>
  </si>
  <si>
    <t>Kırıkkale|Çelebi</t>
  </si>
  <si>
    <t>Çelebi</t>
  </si>
  <si>
    <t>Kırıkkale|Delice</t>
  </si>
  <si>
    <t>Delice</t>
  </si>
  <si>
    <t>Kırıkkale|Karakeçili</t>
  </si>
  <si>
    <t>Karakeçili</t>
  </si>
  <si>
    <t>Kırıkkale|Keskin</t>
  </si>
  <si>
    <t>Keskin</t>
  </si>
  <si>
    <t>Kırıkkale|Merkez</t>
  </si>
  <si>
    <t>Kırıkkale|Sulakyurt</t>
  </si>
  <si>
    <t>Sulakyurt</t>
  </si>
  <si>
    <t>Kırıkkale|Yahşihan</t>
  </si>
  <si>
    <t>Yahşihan</t>
  </si>
  <si>
    <t>Kırklareli|Babaeski</t>
  </si>
  <si>
    <t>Kırklareli</t>
  </si>
  <si>
    <t>Babaeski</t>
  </si>
  <si>
    <t>Kırklareli|Demirköy</t>
  </si>
  <si>
    <t>Demirköy</t>
  </si>
  <si>
    <t>Kırklareli|Kofçaz</t>
  </si>
  <si>
    <t>Kofçaz</t>
  </si>
  <si>
    <t>Kırklareli|Lüleburgaz</t>
  </si>
  <si>
    <t>Lüleburgaz</t>
  </si>
  <si>
    <t>Kırklareli|Merkez</t>
  </si>
  <si>
    <t>Kırklareli|Pehlivanköy</t>
  </si>
  <si>
    <t>Pehlivanköy</t>
  </si>
  <si>
    <t>Kırklareli|Pınarhisar</t>
  </si>
  <si>
    <t>Pınarhisar</t>
  </si>
  <si>
    <t>Kırklareli|Vize</t>
  </si>
  <si>
    <t>Vize</t>
  </si>
  <si>
    <t>Kırşehir|Akçakent</t>
  </si>
  <si>
    <t>Kırşehir</t>
  </si>
  <si>
    <t>Akçakent</t>
  </si>
  <si>
    <t>Kırşehir|Akpınar</t>
  </si>
  <si>
    <t>Akpınar</t>
  </si>
  <si>
    <t>Kırşehir|Boztepe</t>
  </si>
  <si>
    <t>Boztepe</t>
  </si>
  <si>
    <t>Kırşehir|Çiçekdağı</t>
  </si>
  <si>
    <t>Çiçekdağı</t>
  </si>
  <si>
    <t>Kırşehir|Kaman</t>
  </si>
  <si>
    <t>Kaman</t>
  </si>
  <si>
    <t>Kırşehir|Merkez</t>
  </si>
  <si>
    <t>Kırşehir|Mucur</t>
  </si>
  <si>
    <t>Mucur</t>
  </si>
  <si>
    <t>Kilis|Elbeyli</t>
  </si>
  <si>
    <t>Kilis</t>
  </si>
  <si>
    <t>Elbeyli</t>
  </si>
  <si>
    <t>Kilis|Merkez</t>
  </si>
  <si>
    <t>Kilis|Musabeyli</t>
  </si>
  <si>
    <t>Musabeyli</t>
  </si>
  <si>
    <t>Kilis|Polateli</t>
  </si>
  <si>
    <t>Polateli</t>
  </si>
  <si>
    <t>Kocaeli|Başiskele</t>
  </si>
  <si>
    <t>Kocaeli</t>
  </si>
  <si>
    <t>Başiskele</t>
  </si>
  <si>
    <t>Kocaeli|Çayırova</t>
  </si>
  <si>
    <t>Çayırova</t>
  </si>
  <si>
    <t>Kocaeli|Darıca</t>
  </si>
  <si>
    <t>Darıca</t>
  </si>
  <si>
    <t>Kocaeli|Derince</t>
  </si>
  <si>
    <t>Derince</t>
  </si>
  <si>
    <t>Kocaeli|Dilovası</t>
  </si>
  <si>
    <t>Dilovası</t>
  </si>
  <si>
    <t>Kocaeli|Gebze</t>
  </si>
  <si>
    <t>Gebze</t>
  </si>
  <si>
    <t>Kocaeli|Gölcük</t>
  </si>
  <si>
    <t>Gölcük</t>
  </si>
  <si>
    <t>Kocaeli|İzmit</t>
  </si>
  <si>
    <t>İzmit</t>
  </si>
  <si>
    <t>Kocaeli|Kandıra</t>
  </si>
  <si>
    <t>Kandıra</t>
  </si>
  <si>
    <t>Kocaeli|Karamürsel</t>
  </si>
  <si>
    <t>Karamürsel</t>
  </si>
  <si>
    <t>Kocaeli|Kartepe</t>
  </si>
  <si>
    <t>Kartepe</t>
  </si>
  <si>
    <t>Kocaeli|Körfez</t>
  </si>
  <si>
    <t>Körfez</t>
  </si>
  <si>
    <t>Konya|Ahırlı</t>
  </si>
  <si>
    <t>Konya</t>
  </si>
  <si>
    <t>Ahırlı</t>
  </si>
  <si>
    <t>Konya|Akören</t>
  </si>
  <si>
    <t>Akören</t>
  </si>
  <si>
    <t>Konya|Akşehir</t>
  </si>
  <si>
    <t>Akşehir</t>
  </si>
  <si>
    <t>Konya|Altınekin</t>
  </si>
  <si>
    <t>Altınekin</t>
  </si>
  <si>
    <t>Konya|Beyşehir</t>
  </si>
  <si>
    <t>Beyşehir</t>
  </si>
  <si>
    <t>Konya|Bozkır</t>
  </si>
  <si>
    <t>Bozkır</t>
  </si>
  <si>
    <t>Konya|Cihanbeyli</t>
  </si>
  <si>
    <t>Cihanbeyli</t>
  </si>
  <si>
    <t>Konya|Çeltik</t>
  </si>
  <si>
    <t>Çeltik</t>
  </si>
  <si>
    <t>Konya|Çumra</t>
  </si>
  <si>
    <t>Çumra</t>
  </si>
  <si>
    <t>Konya|Derbent</t>
  </si>
  <si>
    <t>Derbent</t>
  </si>
  <si>
    <t>Konya|Derebucak</t>
  </si>
  <si>
    <t>Derebucak</t>
  </si>
  <si>
    <t>Konya|Doğanhisar</t>
  </si>
  <si>
    <t>Doğanhisar</t>
  </si>
  <si>
    <t>Konya|Emirgazi</t>
  </si>
  <si>
    <t>Emirgazi</t>
  </si>
  <si>
    <t>Konya|Ereğli</t>
  </si>
  <si>
    <t>Ereğli</t>
  </si>
  <si>
    <t>Konya|Güneysınır</t>
  </si>
  <si>
    <t>Güneysınır</t>
  </si>
  <si>
    <t>Konya|Hadim</t>
  </si>
  <si>
    <t>Hadim</t>
  </si>
  <si>
    <t>Konya|Halkapınar</t>
  </si>
  <si>
    <t>Halkapınar</t>
  </si>
  <si>
    <t>Konya|Hüyük</t>
  </si>
  <si>
    <t>Hüyük</t>
  </si>
  <si>
    <t>Konya|Ilgın</t>
  </si>
  <si>
    <t>Ilgın</t>
  </si>
  <si>
    <t>Konya|Kadınhanı</t>
  </si>
  <si>
    <t>Kadınhanı</t>
  </si>
  <si>
    <t>Konya|Karapınar</t>
  </si>
  <si>
    <t>Karapınar</t>
  </si>
  <si>
    <t>Konya|Karatay</t>
  </si>
  <si>
    <t>Karatay</t>
  </si>
  <si>
    <t>Konya|Kulu</t>
  </si>
  <si>
    <t>Kulu</t>
  </si>
  <si>
    <t>Konya|Meram</t>
  </si>
  <si>
    <t>Meram</t>
  </si>
  <si>
    <t>Konya|Sarayönü</t>
  </si>
  <si>
    <t>Sarayönü</t>
  </si>
  <si>
    <t>Konya|Selçuklu</t>
  </si>
  <si>
    <t>Selçuklu</t>
  </si>
  <si>
    <t>Konya|Seydişehir</t>
  </si>
  <si>
    <t>Seydişehir</t>
  </si>
  <si>
    <t>Konya|Taşkent</t>
  </si>
  <si>
    <t>Taşkent</t>
  </si>
  <si>
    <t>Konya|Tuzlukçu</t>
  </si>
  <si>
    <t>Tuzlukçu</t>
  </si>
  <si>
    <t>Konya|Yalıhüyük</t>
  </si>
  <si>
    <t>Yalıhüyük</t>
  </si>
  <si>
    <t>Konya|Yunak</t>
  </si>
  <si>
    <t>Yunak</t>
  </si>
  <si>
    <t>Kütahya|Altıntaş</t>
  </si>
  <si>
    <t>Kütahya</t>
  </si>
  <si>
    <t>Altıntaş</t>
  </si>
  <si>
    <t>Kütahya|Aslanapa</t>
  </si>
  <si>
    <t>Aslanapa</t>
  </si>
  <si>
    <t>Kütahya|Çavdarhisar</t>
  </si>
  <si>
    <t>Çavdarhisar</t>
  </si>
  <si>
    <t>Kütahya|Domaniç</t>
  </si>
  <si>
    <t>Domaniç</t>
  </si>
  <si>
    <t>Kütahya|Dumlupınar</t>
  </si>
  <si>
    <t>Dumlupınar</t>
  </si>
  <si>
    <t>Kütahya|Emet</t>
  </si>
  <si>
    <t>Emet</t>
  </si>
  <si>
    <t>Kütahya|Gediz</t>
  </si>
  <si>
    <t>Gediz</t>
  </si>
  <si>
    <t>Kütahya|Hisarcık</t>
  </si>
  <si>
    <t>Hisarcık</t>
  </si>
  <si>
    <t>Kütahya|Merkez</t>
  </si>
  <si>
    <t>Kütahya|Pazarlar</t>
  </si>
  <si>
    <t>Pazarlar</t>
  </si>
  <si>
    <t>Kütahya|Simav</t>
  </si>
  <si>
    <t>Simav</t>
  </si>
  <si>
    <t>Kütahya|Şaphane</t>
  </si>
  <si>
    <t>Şaphane</t>
  </si>
  <si>
    <t>Kütahya|Tavşanlı</t>
  </si>
  <si>
    <t>Tavşanlı</t>
  </si>
  <si>
    <t>Malatya|Akçadağ</t>
  </si>
  <si>
    <t>Malatya</t>
  </si>
  <si>
    <t>Akçadağ</t>
  </si>
  <si>
    <t>Malatya|Arapgir</t>
  </si>
  <si>
    <t>Arapgir</t>
  </si>
  <si>
    <t>Malatya|Arguvan</t>
  </si>
  <si>
    <t>Arguvan</t>
  </si>
  <si>
    <t>Malatya|Battalgazi</t>
  </si>
  <si>
    <t>Battalgazi</t>
  </si>
  <si>
    <t>Malatya|Darende</t>
  </si>
  <si>
    <t>Darende</t>
  </si>
  <si>
    <t>Malatya|Doğanşehir</t>
  </si>
  <si>
    <t>Doğanşehir</t>
  </si>
  <si>
    <t>Malatya|Doğanyol</t>
  </si>
  <si>
    <t>Doğanyol</t>
  </si>
  <si>
    <t>Malatya|Hekimhan</t>
  </si>
  <si>
    <t>Hekimhan</t>
  </si>
  <si>
    <t>Malatya|Kale</t>
  </si>
  <si>
    <t>Malatya|Kuluncak</t>
  </si>
  <si>
    <t>Kuluncak</t>
  </si>
  <si>
    <t>Malatya|Pütürge</t>
  </si>
  <si>
    <t>Pütürge</t>
  </si>
  <si>
    <t>Malatya|Yazıhan</t>
  </si>
  <si>
    <t>Yazıhan</t>
  </si>
  <si>
    <t>Malatya|Yeşilyurt</t>
  </si>
  <si>
    <t>Yeşilyurt</t>
  </si>
  <si>
    <t>Manisa|Ahmetli</t>
  </si>
  <si>
    <t>Manisa</t>
  </si>
  <si>
    <t>Ahmetli</t>
  </si>
  <si>
    <t>Manisa|Akhisar</t>
  </si>
  <si>
    <t>Akhisar</t>
  </si>
  <si>
    <t>Manisa|Alaşehir</t>
  </si>
  <si>
    <t>Alaşehir</t>
  </si>
  <si>
    <t>Manisa|Demirci</t>
  </si>
  <si>
    <t>Demirci</t>
  </si>
  <si>
    <t>Manisa|Gölmarmara</t>
  </si>
  <si>
    <t>Gölmarmara</t>
  </si>
  <si>
    <t>Manisa|Gördes</t>
  </si>
  <si>
    <t>Gördes</t>
  </si>
  <si>
    <t>Manisa|Kırkağaç</t>
  </si>
  <si>
    <t>Kırkağaç</t>
  </si>
  <si>
    <t>Manisa|Köprübaşı</t>
  </si>
  <si>
    <t>Köprübaşı</t>
  </si>
  <si>
    <t>Manisa|Kula</t>
  </si>
  <si>
    <t>Kula</t>
  </si>
  <si>
    <t>Manisa|Salihli</t>
  </si>
  <si>
    <t>Salihli</t>
  </si>
  <si>
    <t>Manisa|Sarıgöl</t>
  </si>
  <si>
    <t>Sarıgöl</t>
  </si>
  <si>
    <t>Manisa|Saruhanlı</t>
  </si>
  <si>
    <t>Saruhanlı</t>
  </si>
  <si>
    <t>Manisa|Selendi</t>
  </si>
  <si>
    <t>Selendi</t>
  </si>
  <si>
    <t>Manisa|Soma</t>
  </si>
  <si>
    <t>Soma</t>
  </si>
  <si>
    <t>Manisa|Şehzadeler</t>
  </si>
  <si>
    <t>Şehzadeler</t>
  </si>
  <si>
    <t>Manisa|Turgutlu</t>
  </si>
  <si>
    <t>Turgutlu</t>
  </si>
  <si>
    <t>Manisa|Yunusemre</t>
  </si>
  <si>
    <t>Yunusemre</t>
  </si>
  <si>
    <t>Mardin|Artuklu</t>
  </si>
  <si>
    <t>Mardin</t>
  </si>
  <si>
    <t>Artuklu</t>
  </si>
  <si>
    <t>Mardin|Dargeçit</t>
  </si>
  <si>
    <t>Dargeçit</t>
  </si>
  <si>
    <t>Mardin|Derik</t>
  </si>
  <si>
    <t>Derik</t>
  </si>
  <si>
    <t>Mardin|Kızıltepe</t>
  </si>
  <si>
    <t>Kızıltepe</t>
  </si>
  <si>
    <t>Mardin|Mazıdağı</t>
  </si>
  <si>
    <t>Mazıdağı</t>
  </si>
  <si>
    <t>Mardin|Midyat</t>
  </si>
  <si>
    <t>Midyat</t>
  </si>
  <si>
    <t>Mardin|Nusaybin</t>
  </si>
  <si>
    <t>Nusaybin</t>
  </si>
  <si>
    <t>Mardin|Ömerli</t>
  </si>
  <si>
    <t>Ömerli</t>
  </si>
  <si>
    <t>Mardin|Savur</t>
  </si>
  <si>
    <t>Savur</t>
  </si>
  <si>
    <t>Mardin|Yeşilli</t>
  </si>
  <si>
    <t>Yeşilli</t>
  </si>
  <si>
    <t>Mersin|Akdeniz</t>
  </si>
  <si>
    <t>Mersin</t>
  </si>
  <si>
    <t>Akdeniz</t>
  </si>
  <si>
    <t>Mersin|Anamur</t>
  </si>
  <si>
    <t>Anamur</t>
  </si>
  <si>
    <t>Mersin|Aydıncık</t>
  </si>
  <si>
    <t>Aydıncık</t>
  </si>
  <si>
    <t>Mersin|Bozyazı</t>
  </si>
  <si>
    <t>Bozyazı</t>
  </si>
  <si>
    <t>Mersin|Çamlıyayla</t>
  </si>
  <si>
    <t>Çamlıyayla</t>
  </si>
  <si>
    <t>Mersin|Erdemli</t>
  </si>
  <si>
    <t>Erdemli</t>
  </si>
  <si>
    <t>Mersin|Gülnar</t>
  </si>
  <si>
    <t>Gülnar</t>
  </si>
  <si>
    <t>Mersin|Mezitli</t>
  </si>
  <si>
    <t>Mezitli</t>
  </si>
  <si>
    <t>Mersin|Mut</t>
  </si>
  <si>
    <t>Mut</t>
  </si>
  <si>
    <t>Mersin|Silifke</t>
  </si>
  <si>
    <t>Silifke</t>
  </si>
  <si>
    <t>Mersin|Tarsus</t>
  </si>
  <si>
    <t>Tarsus</t>
  </si>
  <si>
    <t>Mersin|Toroslar</t>
  </si>
  <si>
    <t>Toroslar</t>
  </si>
  <si>
    <t>Mersin|Yenişehir</t>
  </si>
  <si>
    <t>Muğla|Bodrum</t>
  </si>
  <si>
    <t>Muğla</t>
  </si>
  <si>
    <t>Bodrum</t>
  </si>
  <si>
    <t>Muğla|Dalaman</t>
  </si>
  <si>
    <t>Dalaman</t>
  </si>
  <si>
    <t>Muğla|Datça</t>
  </si>
  <si>
    <t>Datça</t>
  </si>
  <si>
    <t>Muğla|Fethiye</t>
  </si>
  <si>
    <t>Fethiye</t>
  </si>
  <si>
    <t>Muğla|Kavaklıdere</t>
  </si>
  <si>
    <t>Kavaklıdere</t>
  </si>
  <si>
    <t>Muğla|Köyceğiz</t>
  </si>
  <si>
    <t>Köyceğiz</t>
  </si>
  <si>
    <t>Muğla|Marmaris</t>
  </si>
  <si>
    <t>Marmaris</t>
  </si>
  <si>
    <t>Muğla|Menteşe</t>
  </si>
  <si>
    <t>Menteşe</t>
  </si>
  <si>
    <t>Muğla|Milas</t>
  </si>
  <si>
    <t>Milas</t>
  </si>
  <si>
    <t>Muğla|Ortaca</t>
  </si>
  <si>
    <t>Ortaca</t>
  </si>
  <si>
    <t>Muğla|Seydikemer</t>
  </si>
  <si>
    <t>Seydikemer</t>
  </si>
  <si>
    <t>Muğla|Ula</t>
  </si>
  <si>
    <t>Ula</t>
  </si>
  <si>
    <t>Muğla|Yatağan</t>
  </si>
  <si>
    <t>Yatağan</t>
  </si>
  <si>
    <t>Muş|Bulanık</t>
  </si>
  <si>
    <t>Muş</t>
  </si>
  <si>
    <t>Bulanık</t>
  </si>
  <si>
    <t>Muş|Hasköy</t>
  </si>
  <si>
    <t>Hasköy</t>
  </si>
  <si>
    <t>Muş|Korkut</t>
  </si>
  <si>
    <t>Korkut</t>
  </si>
  <si>
    <t>Muş|Malazgirt</t>
  </si>
  <si>
    <t>Malazgirt</t>
  </si>
  <si>
    <t>Muş|Merkez</t>
  </si>
  <si>
    <t>Muş|Varto</t>
  </si>
  <si>
    <t>Varto</t>
  </si>
  <si>
    <t>Nevşehir|Acıgöl</t>
  </si>
  <si>
    <t>Nevşehir</t>
  </si>
  <si>
    <t>Acıgöl</t>
  </si>
  <si>
    <t>Nevşehir|Avanos</t>
  </si>
  <si>
    <t>Avanos</t>
  </si>
  <si>
    <t>Nevşehir|Derinkuyu</t>
  </si>
  <si>
    <t>Derinkuyu</t>
  </si>
  <si>
    <t>Nevşehir|Gülşehir</t>
  </si>
  <si>
    <t>Gülşehir</t>
  </si>
  <si>
    <t>Nevşehir|Hacıbektaş</t>
  </si>
  <si>
    <t>Hacıbektaş</t>
  </si>
  <si>
    <t>Nevşehir|Kozaklı</t>
  </si>
  <si>
    <t>Kozaklı</t>
  </si>
  <si>
    <t>Nevşehir|Merkez</t>
  </si>
  <si>
    <t>Nevşehir|Ürgüp</t>
  </si>
  <si>
    <t>Ürgüp</t>
  </si>
  <si>
    <t>Niğde|Altunhisar</t>
  </si>
  <si>
    <t>Niğde</t>
  </si>
  <si>
    <t>Altunhisar</t>
  </si>
  <si>
    <t>Niğde|Bor</t>
  </si>
  <si>
    <t>Bor</t>
  </si>
  <si>
    <t>Niğde|Çamardı</t>
  </si>
  <si>
    <t>Çamardı</t>
  </si>
  <si>
    <t>Niğde|Çiftlik</t>
  </si>
  <si>
    <t>Çiftlik</t>
  </si>
  <si>
    <t>Niğde|Merkez</t>
  </si>
  <si>
    <t>Niğde|Ulukışla</t>
  </si>
  <si>
    <t>Ulukışla</t>
  </si>
  <si>
    <t>Ordu|Akkuş</t>
  </si>
  <si>
    <t>Ordu</t>
  </si>
  <si>
    <t>Akkuş</t>
  </si>
  <si>
    <t>Ordu|Altınordu</t>
  </si>
  <si>
    <t>Altınordu</t>
  </si>
  <si>
    <t>Ordu|Aybastı</t>
  </si>
  <si>
    <t>Aybastı</t>
  </si>
  <si>
    <t>Ordu|Çamaş</t>
  </si>
  <si>
    <t>Çamaş</t>
  </si>
  <si>
    <t>Ordu|Çatalpınar</t>
  </si>
  <si>
    <t>Çatalpınar</t>
  </si>
  <si>
    <t>Ordu|Çaybaşı</t>
  </si>
  <si>
    <t>Çaybaşı</t>
  </si>
  <si>
    <t>Ordu|Fatsa</t>
  </si>
  <si>
    <t>Fatsa</t>
  </si>
  <si>
    <t>Ordu|Gölköy</t>
  </si>
  <si>
    <t>Gölköy</t>
  </si>
  <si>
    <t>Ordu|Gülyalı</t>
  </si>
  <si>
    <t>Gülyalı</t>
  </si>
  <si>
    <t>Ordu|Gürgentepe</t>
  </si>
  <si>
    <t>Gürgentepe</t>
  </si>
  <si>
    <t>Ordu|İkizce</t>
  </si>
  <si>
    <t>İkizce</t>
  </si>
  <si>
    <t>Ordu|Kabadüz</t>
  </si>
  <si>
    <t>Kabadüz</t>
  </si>
  <si>
    <t>Ordu|Kabataş</t>
  </si>
  <si>
    <t>Kabataş</t>
  </si>
  <si>
    <t>Ordu|Korgan</t>
  </si>
  <si>
    <t>Korgan</t>
  </si>
  <si>
    <t>Ordu|Kumru</t>
  </si>
  <si>
    <t>Kumru</t>
  </si>
  <si>
    <t>Ordu|Mesudiye</t>
  </si>
  <si>
    <t>Mesudiye</t>
  </si>
  <si>
    <t>Ordu|Perşembe</t>
  </si>
  <si>
    <t>Perşembe</t>
  </si>
  <si>
    <t>Ordu|Ulubey</t>
  </si>
  <si>
    <t>Ulubey</t>
  </si>
  <si>
    <t>Ordu|Ünye</t>
  </si>
  <si>
    <t>Ünye</t>
  </si>
  <si>
    <t>Osmaniye|Bahçe</t>
  </si>
  <si>
    <t>Osmaniye</t>
  </si>
  <si>
    <t>Bahçe</t>
  </si>
  <si>
    <t>Osmaniye|Düziçi</t>
  </si>
  <si>
    <t>Düziçi</t>
  </si>
  <si>
    <t>Osmaniye|Hasanbeyli</t>
  </si>
  <si>
    <t>Hasanbeyli</t>
  </si>
  <si>
    <t>Osmaniye|Kadirli</t>
  </si>
  <si>
    <t>Kadirli</t>
  </si>
  <si>
    <t>Osmaniye|Merkez</t>
  </si>
  <si>
    <t>Osmaniye|Sumbas</t>
  </si>
  <si>
    <t>Sumbas</t>
  </si>
  <si>
    <t>Osmaniye|Toprakkale</t>
  </si>
  <si>
    <t>Toprakkale</t>
  </si>
  <si>
    <t>Rize|Ardeşen</t>
  </si>
  <si>
    <t>Rize</t>
  </si>
  <si>
    <t>Ardeşen</t>
  </si>
  <si>
    <t>Rize|Çamlıhemşin</t>
  </si>
  <si>
    <t>Çamlıhemşin</t>
  </si>
  <si>
    <t>Rize|Çayeli</t>
  </si>
  <si>
    <t>Çayeli</t>
  </si>
  <si>
    <t>Rize|Derepazarı</t>
  </si>
  <si>
    <t>Derepazarı</t>
  </si>
  <si>
    <t>Rize|Fındıklı</t>
  </si>
  <si>
    <t>Fındıklı</t>
  </si>
  <si>
    <t>Rize|Güneysu</t>
  </si>
  <si>
    <t>Güneysu</t>
  </si>
  <si>
    <t>Rize|Hemşin</t>
  </si>
  <si>
    <t>Hemşin</t>
  </si>
  <si>
    <t>Rize|İkizdere</t>
  </si>
  <si>
    <t>İkizdere</t>
  </si>
  <si>
    <t>Rize|İyidere</t>
  </si>
  <si>
    <t>İyidere</t>
  </si>
  <si>
    <t>Rize|Kalkandere</t>
  </si>
  <si>
    <t>Kalkandere</t>
  </si>
  <si>
    <t>Rize|Merkez</t>
  </si>
  <si>
    <t>Rize|Pazar</t>
  </si>
  <si>
    <t>Pazar</t>
  </si>
  <si>
    <t>Sakarya|Adapazarı</t>
  </si>
  <si>
    <t>Sakarya</t>
  </si>
  <si>
    <t>Adapazarı</t>
  </si>
  <si>
    <t>Sakarya|Akyazı</t>
  </si>
  <si>
    <t>Akyazı</t>
  </si>
  <si>
    <t>Sakarya|Arifiye</t>
  </si>
  <si>
    <t>Arifiye</t>
  </si>
  <si>
    <t>Sakarya|Erenler</t>
  </si>
  <si>
    <t>Erenler</t>
  </si>
  <si>
    <t>Sakarya|Ferizli</t>
  </si>
  <si>
    <t>Ferizli</t>
  </si>
  <si>
    <t>Sakarya|Geyve</t>
  </si>
  <si>
    <t>Geyve</t>
  </si>
  <si>
    <t>Sakarya|Hendek</t>
  </si>
  <si>
    <t>Hendek</t>
  </si>
  <si>
    <t>Sakarya|Karapürçek</t>
  </si>
  <si>
    <t>Karapürçek</t>
  </si>
  <si>
    <t>Sakarya|Karasu</t>
  </si>
  <si>
    <t>Karasu</t>
  </si>
  <si>
    <t>Sakarya|Kaynarca</t>
  </si>
  <si>
    <t>Kaynarca</t>
  </si>
  <si>
    <t>Sakarya|Kocaali</t>
  </si>
  <si>
    <t>Kocaali</t>
  </si>
  <si>
    <t>Sakarya|Pamukova</t>
  </si>
  <si>
    <t>Pamukova</t>
  </si>
  <si>
    <t>Sakarya|Sapanca</t>
  </si>
  <si>
    <t>Sapanca</t>
  </si>
  <si>
    <t>Sakarya|Serdivan</t>
  </si>
  <si>
    <t>Serdivan</t>
  </si>
  <si>
    <t>Sakarya|Söğütlü</t>
  </si>
  <si>
    <t>Söğütlü</t>
  </si>
  <si>
    <t>Sakarya|Taraklı</t>
  </si>
  <si>
    <t>Taraklı</t>
  </si>
  <si>
    <t>Samsun|Alaçam</t>
  </si>
  <si>
    <t>Samsun</t>
  </si>
  <si>
    <t>Alaçam</t>
  </si>
  <si>
    <t>Samsun|Asarcık</t>
  </si>
  <si>
    <t>Asarcık</t>
  </si>
  <si>
    <t>Samsun|Atakum</t>
  </si>
  <si>
    <t>Atakum</t>
  </si>
  <si>
    <t>Samsun|Ayvacık</t>
  </si>
  <si>
    <t>Samsun|Bafra</t>
  </si>
  <si>
    <t>Bafra</t>
  </si>
  <si>
    <t>Samsun|Canik</t>
  </si>
  <si>
    <t>Canik</t>
  </si>
  <si>
    <t>Samsun|Çarşamba</t>
  </si>
  <si>
    <t>Çarşamba</t>
  </si>
  <si>
    <t>Samsun|Havza</t>
  </si>
  <si>
    <t>Havza</t>
  </si>
  <si>
    <t>Samsun|İlkadım</t>
  </si>
  <si>
    <t>İlkadım</t>
  </si>
  <si>
    <t>Samsun|Kavak</t>
  </si>
  <si>
    <t>Kavak</t>
  </si>
  <si>
    <t>Samsun|Ladik</t>
  </si>
  <si>
    <t>Ladik</t>
  </si>
  <si>
    <t>Samsun|Ondokuzmayıs</t>
  </si>
  <si>
    <t>Ondokuzmayıs</t>
  </si>
  <si>
    <t>Samsun|Salıpazarı</t>
  </si>
  <si>
    <t>Salıpazarı</t>
  </si>
  <si>
    <t>Samsun|Tekkeköy</t>
  </si>
  <si>
    <t>Tekkeköy</t>
  </si>
  <si>
    <t>Samsun|Terme</t>
  </si>
  <si>
    <t>Terme</t>
  </si>
  <si>
    <t>Samsun|Vezirköprü</t>
  </si>
  <si>
    <t>Vezirköprü</t>
  </si>
  <si>
    <t>Samsun|Yakakent</t>
  </si>
  <si>
    <t>Yakakent</t>
  </si>
  <si>
    <t>Siirt|Baykan</t>
  </si>
  <si>
    <t>Siirt</t>
  </si>
  <si>
    <t>Baykan</t>
  </si>
  <si>
    <t>Siirt|Eruh</t>
  </si>
  <si>
    <t>Eruh</t>
  </si>
  <si>
    <t>Siirt|Kurtalan</t>
  </si>
  <si>
    <t>Kurtalan</t>
  </si>
  <si>
    <t>Siirt|Merkez</t>
  </si>
  <si>
    <t>Siirt|Pervari</t>
  </si>
  <si>
    <t>Pervari</t>
  </si>
  <si>
    <t>Siirt|Şirvan</t>
  </si>
  <si>
    <t>Şirvan</t>
  </si>
  <si>
    <t>Siirt|Tillo</t>
  </si>
  <si>
    <t>Tillo</t>
  </si>
  <si>
    <t>Sinop|Ayancık</t>
  </si>
  <si>
    <t>Sinop</t>
  </si>
  <si>
    <t>Ayancık</t>
  </si>
  <si>
    <t>Sinop|Boyabat</t>
  </si>
  <si>
    <t>Boyabat</t>
  </si>
  <si>
    <t>Sinop|Dikmen</t>
  </si>
  <si>
    <t>Dikmen</t>
  </si>
  <si>
    <t>Sinop|Durağan</t>
  </si>
  <si>
    <t>Durağan</t>
  </si>
  <si>
    <t>Sinop|Erfelek</t>
  </si>
  <si>
    <t>Erfelek</t>
  </si>
  <si>
    <t>Sinop|Gerze</t>
  </si>
  <si>
    <t>Gerze</t>
  </si>
  <si>
    <t>Sinop|Merkez</t>
  </si>
  <si>
    <t>Sinop|Saraydüzü</t>
  </si>
  <si>
    <t>Saraydüzü</t>
  </si>
  <si>
    <t>Sinop|Türkeli</t>
  </si>
  <si>
    <t>Türkeli</t>
  </si>
  <si>
    <t>Sivas|Akıncılar</t>
  </si>
  <si>
    <t>Sivas</t>
  </si>
  <si>
    <t>Akıncılar</t>
  </si>
  <si>
    <t>Sivas|Altınyayla</t>
  </si>
  <si>
    <t>Sivas|Divriği</t>
  </si>
  <si>
    <t>Divriği</t>
  </si>
  <si>
    <t>Sivas|Doğanşar</t>
  </si>
  <si>
    <t>Doğanşar</t>
  </si>
  <si>
    <t>Sivas|Gemerek</t>
  </si>
  <si>
    <t>Gemerek</t>
  </si>
  <si>
    <t>Sivas|Gölova</t>
  </si>
  <si>
    <t>Gölova</t>
  </si>
  <si>
    <t>Sivas|Gürün</t>
  </si>
  <si>
    <t>Gürün</t>
  </si>
  <si>
    <t>Sivas|Hafik</t>
  </si>
  <si>
    <t>Hafik</t>
  </si>
  <si>
    <t>Sivas|İmranlı</t>
  </si>
  <si>
    <t>İmranlı</t>
  </si>
  <si>
    <t>Sivas|Kangal</t>
  </si>
  <si>
    <t>Kangal</t>
  </si>
  <si>
    <t>Sivas|Koyulhisar</t>
  </si>
  <si>
    <t>Koyulhisar</t>
  </si>
  <si>
    <t>Sivas|Merkez</t>
  </si>
  <si>
    <t>Sivas|Suşehri</t>
  </si>
  <si>
    <t>Suşehri</t>
  </si>
  <si>
    <t>Sivas|Şarkışla</t>
  </si>
  <si>
    <t>Şarkışla</t>
  </si>
  <si>
    <t>Sivas|Ulaş</t>
  </si>
  <si>
    <t>Ulaş</t>
  </si>
  <si>
    <t>Sivas|Yıldızeli</t>
  </si>
  <si>
    <t>Yıldızeli</t>
  </si>
  <si>
    <t>Sivas|Zara</t>
  </si>
  <si>
    <t>Zara</t>
  </si>
  <si>
    <t>Şanlıurfa|Akçakale</t>
  </si>
  <si>
    <t>Şanlıurfa</t>
  </si>
  <si>
    <t>Akçakale</t>
  </si>
  <si>
    <t>Şanlıurfa|Birecik</t>
  </si>
  <si>
    <t>Birecik</t>
  </si>
  <si>
    <t>Şanlıurfa|Bozova</t>
  </si>
  <si>
    <t>Bozova</t>
  </si>
  <si>
    <t>Şanlıurfa|Ceylanpınar</t>
  </si>
  <si>
    <t>Ceylanpınar</t>
  </si>
  <si>
    <t>Şanlıurfa|Eyyübiye</t>
  </si>
  <si>
    <t>Eyyübiye</t>
  </si>
  <si>
    <t>Şanlıurfa|Halfeti</t>
  </si>
  <si>
    <t>Halfeti</t>
  </si>
  <si>
    <t>Şanlıurfa|Haliliye</t>
  </si>
  <si>
    <t>Haliliye</t>
  </si>
  <si>
    <t>Şanlıurfa|Harran</t>
  </si>
  <si>
    <t>Harran</t>
  </si>
  <si>
    <t>Şanlıurfa|Hilvan</t>
  </si>
  <si>
    <t>Hilvan</t>
  </si>
  <si>
    <t>Şanlıurfa|Karaköprü</t>
  </si>
  <si>
    <t>Karaköprü</t>
  </si>
  <si>
    <t>Şanlıurfa|Siverek</t>
  </si>
  <si>
    <t>Siverek</t>
  </si>
  <si>
    <t>Şanlıurfa|Suruç</t>
  </si>
  <si>
    <t>Suruç</t>
  </si>
  <si>
    <t>Şanlıurfa|Viranşehir</t>
  </si>
  <si>
    <t>Viranşehir</t>
  </si>
  <si>
    <t>Şırnak|Beytüşşebap</t>
  </si>
  <si>
    <t>Şırnak</t>
  </si>
  <si>
    <t>Beytüşşebap</t>
  </si>
  <si>
    <t>Şırnak|Cizre</t>
  </si>
  <si>
    <t>Cizre</t>
  </si>
  <si>
    <t>Şırnak|Güçlükonak</t>
  </si>
  <si>
    <t>Güçlükonak</t>
  </si>
  <si>
    <t>Şırnak|İdil</t>
  </si>
  <si>
    <t>İdil</t>
  </si>
  <si>
    <t>Şırnak|Merkez</t>
  </si>
  <si>
    <t>Şırnak|Silopi</t>
  </si>
  <si>
    <t>Silopi</t>
  </si>
  <si>
    <t>Şırnak|Uludere</t>
  </si>
  <si>
    <t>Uludere</t>
  </si>
  <si>
    <t>Tekirdağ|Çerkezköy</t>
  </si>
  <si>
    <t>Tekirdağ</t>
  </si>
  <si>
    <t>Çerkezköy</t>
  </si>
  <si>
    <t>Tekirdağ|Çorlu</t>
  </si>
  <si>
    <t>Çorlu</t>
  </si>
  <si>
    <t>Tekirdağ|Ergene</t>
  </si>
  <si>
    <t>Ergene</t>
  </si>
  <si>
    <t>Tekirdağ|Hayrabolu</t>
  </si>
  <si>
    <t>Hayrabolu</t>
  </si>
  <si>
    <t>Tekirdağ|Kapaklı</t>
  </si>
  <si>
    <t>Kapaklı</t>
  </si>
  <si>
    <t>Tekirdağ|Malkara</t>
  </si>
  <si>
    <t>Malkara</t>
  </si>
  <si>
    <t>Tekirdağ|Marmaraereğlisi</t>
  </si>
  <si>
    <t>Marmaraereğlisi</t>
  </si>
  <si>
    <t>Tekirdağ|Muratlı</t>
  </si>
  <si>
    <t>Muratlı</t>
  </si>
  <si>
    <t>Tekirdağ|Saray</t>
  </si>
  <si>
    <t>Saray</t>
  </si>
  <si>
    <t>Tekirdağ|Süleymanpaşa</t>
  </si>
  <si>
    <t>Süleymanpaşa</t>
  </si>
  <si>
    <t>Tekirdağ|Şarköy</t>
  </si>
  <si>
    <t>Şarköy</t>
  </si>
  <si>
    <t>Tokat|Almus</t>
  </si>
  <si>
    <t>Tokat</t>
  </si>
  <si>
    <t>Almus</t>
  </si>
  <si>
    <t>Tokat|Artova</t>
  </si>
  <si>
    <t>Artova</t>
  </si>
  <si>
    <t>Tokat|Başçiftlik</t>
  </si>
  <si>
    <t>Başçiftlik</t>
  </si>
  <si>
    <t>Tokat|Erbaa</t>
  </si>
  <si>
    <t>Erbaa</t>
  </si>
  <si>
    <t>Tokat|Merkez</t>
  </si>
  <si>
    <t>Tokat|Niksar</t>
  </si>
  <si>
    <t>Niksar</t>
  </si>
  <si>
    <t>Tokat|Pazar</t>
  </si>
  <si>
    <t>Tokat|Reşadiye</t>
  </si>
  <si>
    <t>Reşadiye</t>
  </si>
  <si>
    <t>Tokat|Sulusaray</t>
  </si>
  <si>
    <t>Sulusaray</t>
  </si>
  <si>
    <t>Tokat|Turhal</t>
  </si>
  <si>
    <t>Turhal</t>
  </si>
  <si>
    <t>Tokat|Yeşilyurt</t>
  </si>
  <si>
    <t>Tokat|Zile</t>
  </si>
  <si>
    <t>Zile</t>
  </si>
  <si>
    <t>Trabzon|Akçaabat</t>
  </si>
  <si>
    <t>Trabzon</t>
  </si>
  <si>
    <t>Akçaabat</t>
  </si>
  <si>
    <t>Trabzon|Araklı</t>
  </si>
  <si>
    <t>Araklı</t>
  </si>
  <si>
    <t>Trabzon|Arsin</t>
  </si>
  <si>
    <t>Arsin</t>
  </si>
  <si>
    <t>Trabzon|Beşikdüzü</t>
  </si>
  <si>
    <t>Beşikdüzü</t>
  </si>
  <si>
    <t>Trabzon|Çarşıbaşı</t>
  </si>
  <si>
    <t>Çarşıbaşı</t>
  </si>
  <si>
    <t>Trabzon|Çaykara</t>
  </si>
  <si>
    <t>Çaykara</t>
  </si>
  <si>
    <t>Trabzon|Dernekpazarı</t>
  </si>
  <si>
    <t>Dernekpazarı</t>
  </si>
  <si>
    <t>Trabzon|Düzköy</t>
  </si>
  <si>
    <t>Düzköy</t>
  </si>
  <si>
    <t>Trabzon|Hayrat</t>
  </si>
  <si>
    <t>Hayrat</t>
  </si>
  <si>
    <t>Trabzon|Köprübaşı</t>
  </si>
  <si>
    <t>Trabzon|Maçka</t>
  </si>
  <si>
    <t>Maçka</t>
  </si>
  <si>
    <t>Trabzon|Of</t>
  </si>
  <si>
    <t>Of</t>
  </si>
  <si>
    <t>Trabzon|Ortahisar</t>
  </si>
  <si>
    <t>Ortahisar</t>
  </si>
  <si>
    <t>Trabzon|Sürmene</t>
  </si>
  <si>
    <t>Sürmene</t>
  </si>
  <si>
    <t>Trabzon|Şalpazarı</t>
  </si>
  <si>
    <t>Şalpazarı</t>
  </si>
  <si>
    <t>Trabzon|Tonya</t>
  </si>
  <si>
    <t>Tonya</t>
  </si>
  <si>
    <t>Trabzon|Vakfıkebir</t>
  </si>
  <si>
    <t>Vakfıkebir</t>
  </si>
  <si>
    <t>Trabzon|Yomra</t>
  </si>
  <si>
    <t>Yomra</t>
  </si>
  <si>
    <t>Tunceli|Çemişgezek</t>
  </si>
  <si>
    <t>Tunceli</t>
  </si>
  <si>
    <t>Çemişgezek</t>
  </si>
  <si>
    <t>Tunceli|Hozat</t>
  </si>
  <si>
    <t>Hozat</t>
  </si>
  <si>
    <t>Tunceli|Mazgirt</t>
  </si>
  <si>
    <t>Mazgirt</t>
  </si>
  <si>
    <t>Tunceli|Merkez</t>
  </si>
  <si>
    <t>Tunceli|Nazımiye</t>
  </si>
  <si>
    <t>Nazımiye</t>
  </si>
  <si>
    <t>Tunceli|Ovacık</t>
  </si>
  <si>
    <t>Tunceli|Pertek</t>
  </si>
  <si>
    <t>Pertek</t>
  </si>
  <si>
    <t>Tunceli|Pülümür</t>
  </si>
  <si>
    <t>Pülümür</t>
  </si>
  <si>
    <t>Uşak|Banaz</t>
  </si>
  <si>
    <t>Uşak</t>
  </si>
  <si>
    <t>Banaz</t>
  </si>
  <si>
    <t>Uşak|Eşme</t>
  </si>
  <si>
    <t>Eşme</t>
  </si>
  <si>
    <t>Uşak|Karahallı</t>
  </si>
  <si>
    <t>Karahallı</t>
  </si>
  <si>
    <t>Uşak|Merkez</t>
  </si>
  <si>
    <t>Uşak|Sivaslı</t>
  </si>
  <si>
    <t>Sivaslı</t>
  </si>
  <si>
    <t>Uşak|Ulubey</t>
  </si>
  <si>
    <t>Van|Bahçesaray</t>
  </si>
  <si>
    <t>Van</t>
  </si>
  <si>
    <t>Bahçesaray</t>
  </si>
  <si>
    <t>Van|Başkale</t>
  </si>
  <si>
    <t>Başkale</t>
  </si>
  <si>
    <t>Van|Çaldıran</t>
  </si>
  <si>
    <t>Çaldıran</t>
  </si>
  <si>
    <t>Van|Çatak</t>
  </si>
  <si>
    <t>Çatak</t>
  </si>
  <si>
    <t>Van|Edremit</t>
  </si>
  <si>
    <t>Van|Erciş</t>
  </si>
  <si>
    <t>Erciş</t>
  </si>
  <si>
    <t>Van|Gevaş</t>
  </si>
  <si>
    <t>Gevaş</t>
  </si>
  <si>
    <t>Van|Gürpınar</t>
  </si>
  <si>
    <t>Gürpınar</t>
  </si>
  <si>
    <t>Van|İpekyolu</t>
  </si>
  <si>
    <t>İpekyolu</t>
  </si>
  <si>
    <t>Van|Muradiye</t>
  </si>
  <si>
    <t>Muradiye</t>
  </si>
  <si>
    <t>Van|Özalp</t>
  </si>
  <si>
    <t>Özalp</t>
  </si>
  <si>
    <t>Van|Saray</t>
  </si>
  <si>
    <t>Van|Tuşba</t>
  </si>
  <si>
    <t>Tuşba</t>
  </si>
  <si>
    <t>Yalova|Altınova</t>
  </si>
  <si>
    <t>Yalova</t>
  </si>
  <si>
    <t>Altınova</t>
  </si>
  <si>
    <t>Yalova|Armutlu</t>
  </si>
  <si>
    <t>Armutlu</t>
  </si>
  <si>
    <t>Yalova|Çınarcık</t>
  </si>
  <si>
    <t>Çınarcık</t>
  </si>
  <si>
    <t>Yalova|Çiftlikköy</t>
  </si>
  <si>
    <t>Çiftlikköy</t>
  </si>
  <si>
    <t>Yalova|Merkez</t>
  </si>
  <si>
    <t>Yalova|Termal</t>
  </si>
  <si>
    <t>Termal</t>
  </si>
  <si>
    <t>Yozgat|Akdağmadeni</t>
  </si>
  <si>
    <t>Yozgat</t>
  </si>
  <si>
    <t>Akdağmadeni</t>
  </si>
  <si>
    <t>Yozgat|Aydıncık</t>
  </si>
  <si>
    <t>Yozgat|Boğazlıyan</t>
  </si>
  <si>
    <t>Boğazlıyan</t>
  </si>
  <si>
    <t>Yozgat|Çandır</t>
  </si>
  <si>
    <t>Çandır</t>
  </si>
  <si>
    <t>Yozgat|Çayıralan</t>
  </si>
  <si>
    <t>Çayıralan</t>
  </si>
  <si>
    <t>Yozgat|Çekerek</t>
  </si>
  <si>
    <t>Çekerek</t>
  </si>
  <si>
    <t>Yozgat|Kadışehri</t>
  </si>
  <si>
    <t>Kadışehri</t>
  </si>
  <si>
    <t>Yozgat|Merkez</t>
  </si>
  <si>
    <t>Yozgat|Saraykent</t>
  </si>
  <si>
    <t>Saraykent</t>
  </si>
  <si>
    <t>Yozgat|Sarıkaya</t>
  </si>
  <si>
    <t>Sarıkaya</t>
  </si>
  <si>
    <t>Yozgat|Sorgun</t>
  </si>
  <si>
    <t>Sorgun</t>
  </si>
  <si>
    <t>Yozgat|Şefaatli</t>
  </si>
  <si>
    <t>Şefaatli</t>
  </si>
  <si>
    <t>Yozgat|Yenifakılı</t>
  </si>
  <si>
    <t>Yenifakılı</t>
  </si>
  <si>
    <t>Yozgat|Yerköy</t>
  </si>
  <si>
    <t>Yerköy</t>
  </si>
  <si>
    <t>Zonguldak|Alaplı</t>
  </si>
  <si>
    <t>Zonguldak</t>
  </si>
  <si>
    <t>Alaplı</t>
  </si>
  <si>
    <t>Zonguldak|Çaycuma</t>
  </si>
  <si>
    <t>Çaycuma</t>
  </si>
  <si>
    <t>Zonguldak|Devrek</t>
  </si>
  <si>
    <t>Devrek</t>
  </si>
  <si>
    <t>Zonguldak|Ereğli</t>
  </si>
  <si>
    <t>Zonguldak|Gökçebey</t>
  </si>
  <si>
    <t>Gökçebey</t>
  </si>
  <si>
    <t>Zonguldak|Kilimli</t>
  </si>
  <si>
    <t>Kilimli</t>
  </si>
  <si>
    <t>Zonguldak|Kozlu</t>
  </si>
  <si>
    <t>Kozlu</t>
  </si>
  <si>
    <t>Zonguldak|Merkez</t>
  </si>
  <si>
    <t>Talep Edilen RFF Tutarı (Avro eşdeğeri)</t>
  </si>
  <si>
    <t>B. SIRALAMA PUANI GÖSTERGELERİ — OTOMATİK ÖZET (1.2 SEGE + 2.1 Çiftçi Entegrasyonu)</t>
  </si>
  <si>
    <t>Mevcut kayıtlı çiftçi</t>
  </si>
  <si>
    <t>Eklenecek kayıtlı çiftçi</t>
  </si>
  <si>
    <t>İlave çiftçi / 90.000 Avro RFF</t>
  </si>
  <si>
    <t>Kayıtlı çiftçi puanı</t>
  </si>
  <si>
    <t>SEGE 4–6 Tedarik Payı (değer bazlı)</t>
  </si>
  <si>
    <t>SEGE Tedarik Puanı</t>
  </si>
  <si>
    <t>Tedarik puanı toplamı (1.2 + 2.1)</t>
  </si>
  <si>
    <t>Asgari katkı durumu</t>
  </si>
  <si>
    <t>TARIMSAL ÜRÜN GİRDİ ÖZETİ — P SÜTUNU (HEDEF YILLIK TEDARİK DEĞERİ) ESASLI</t>
  </si>
  <si>
    <t>Tarımsal Ürün</t>
  </si>
  <si>
    <t>GENEL TOPLAM</t>
  </si>
  <si>
    <t>TEDARİKÇİ ENTEGRASYONU PUANLAMA ÖZETİ — 1.2 SEGE + 2.1 ÇİFTÇİ ENTEGRASYONU</t>
  </si>
  <si>
    <t>Alt kriter</t>
  </si>
  <si>
    <t>Eşik / gösterge</t>
  </si>
  <si>
    <t>Formdaki değer</t>
  </si>
  <si>
    <t>Puan</t>
  </si>
  <si>
    <t>Azami puan</t>
  </si>
  <si>
    <t>1.2 SEGE 4–6 ilçelerinden tedarik</t>
  </si>
  <si>
    <t>%1–20 = 1; %21–50 = 4; %51–100 = 7,5</t>
  </si>
  <si>
    <t>Başvuru Formu L9/O9</t>
  </si>
  <si>
    <t>2.1 İlave kayıtlı çiftçi / birincil üretici entegrasyonu</t>
  </si>
  <si>
    <t>90.000 Avro RFF başına &lt;2=0; 2–&lt;4=4; 4–&lt;6=8; ≥6=12,5</t>
  </si>
  <si>
    <t>Başvuru Formu F9/H9</t>
  </si>
  <si>
    <t>Tedarik puanı toplamı</t>
  </si>
  <si>
    <t>1.2 + 2.1</t>
  </si>
  <si>
    <t>Başvuru Formu L10</t>
  </si>
  <si>
    <t>2.2 Tedarik miktarı artışına dayalı ilave çiftçi eşdeğeri</t>
  </si>
  <si>
    <t>Bu revizyonda dikkate alınmaz</t>
  </si>
  <si>
    <t>Bilgi amaçlı</t>
  </si>
  <si>
    <t>Alternatif 1 tablosundaki 1.2 SEGE tedarik puanı ve 2.1 ilave kayıtlı çiftçi puanı toplanır; 2.2 tedarik miktarı artışı puanı toplam dışında bırakılır.</t>
  </si>
  <si>
    <t>Hedef Toplam Tedarik Değeri (TL)</t>
  </si>
  <si>
    <t>SEGE 4–6 Hedef Tedarik Değeri (TL)</t>
  </si>
  <si>
    <t>Bu form, başvuru sahibi tarafından doldurulur. SEGE kademesi il + ilçe eşleşmesiyle otomatik bulunur; SEGE 4–6 tedarik payı ve Tarımsal Ürün Girdi Özeti hedef yıllık tedarik değeri (TL) esas alınarak değer bazlı hesaplanır. Toplam puan 1.2 SEGE 4–6 ilçelerinden tedarik payı ve 2.1 ilave kayıtlı çiftçi / birincil üretici entegrasyonu üzerinden hesaplanır.</t>
  </si>
  <si>
    <t>Tüm Tarımsal Ürün Değeri İçindeki Pay</t>
  </si>
  <si>
    <t>Ürün İçinde SEGE 4–6 Payı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</si>
</sst>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numFmt numFmtId="165" formatCode="0.0%"/>
    <numFmt numFmtId="166" formatCode="0.0"/>
  </numFmts>
  <fonts count="28">
    <font>
      <sz val="11"/>
      <name val="Carlito"/>
    </font>
    <font>
      <b/>
      <sz val="16"/>
      <color rgb="FFFFFFFF"/>
      <name val="Carlito"/>
    </font>
    <font>
      <sz val="9"/>
      <color rgb="FF243447"/>
      <name val="Carlito"/>
    </font>
    <font>
      <b/>
      <sz val="10"/>
      <color rgb="FFFFFFFF"/>
      <name val="Carlito"/>
    </font>
    <font>
      <b/>
      <sz val="9"/>
      <color rgb="FF243447"/>
      <name val="Carlito"/>
    </font>
    <font>
      <sz val="8"/>
      <color rgb="FF243447"/>
      <name val="Carlito"/>
    </font>
    <font>
      <b/>
      <sz val="8"/>
      <color rgb="FFFFFFFF"/>
      <name val="Carlito"/>
    </font>
    <font>
      <i/>
      <sz val="8"/>
      <color rgb="FF243447"/>
      <name val="Carlito"/>
    </font>
    <font>
      <b/>
      <sz val="9"/>
      <color rgb="FFFFFFFF"/>
      <name val="Carlito"/>
    </font>
    <font>
      <sz val="9"/>
      <color rgb="FFFFFFFF"/>
      <name val="Carlito"/>
    </font>
    <font>
      <b/>
      <sz val="11"/>
      <color rgb="FF1F1F1F"/>
      <name val="Carlito"/>
    </font>
    <font>
      <b/>
      <sz val="9"/>
      <color rgb="FF1F1F1F"/>
      <name val="Carlito"/>
    </font>
    <font>
      <sz val="9"/>
      <color rgb="FF1F1F1F"/>
      <name val="Carlito"/>
    </font>
    <font>
      <b/>
      <sz val="11"/>
      <color rgb="FFFFFFFF"/>
      <name val="Carlito"/>
    </font>
    <font>
      <sz val="11"/>
      <color rgb="FF1F1F1F"/>
      <name val="Carlito"/>
    </font>
    <font>
      <sz val="11"/>
      <name val="Calibri"/>
      <family val="2"/>
      <charset val="162"/>
    </font>
    <font>
      <sz val="11"/>
      <color rgb="FF243447"/>
      <name val="Calibri"/>
      <family val="2"/>
      <charset val="162"/>
    </font>
    <font>
      <b/>
      <sz val="11"/>
      <color rgb="FF243447"/>
      <name val="Calibri"/>
      <family val="2"/>
      <charset val="162"/>
    </font>
    <font>
      <sz val="11"/>
      <name val="Carlito"/>
    </font>
    <font>
      <b/>
      <sz val="11"/>
      <name val="Carlito"/>
    </font>
    <font>
      <b/>
      <sz val="12"/>
      <color rgb="FFFFFFFF"/>
      <name val="Calibri"/>
      <family val="2"/>
      <charset val="162"/>
    </font>
    <font>
      <b/>
      <sz val="11"/>
      <name val="Calibri"/>
      <family val="2"/>
      <charset val="162"/>
    </font>
    <font>
      <sz val="11"/>
      <name val="Calibri"/>
      <family val="2"/>
      <charset val="162"/>
    </font>
    <font>
      <b/>
      <i/>
      <sz val="11"/>
      <color rgb="FF1F1F1F"/>
      <name val="Carlito"/>
    </font>
    <font>
      <b/>
      <sz val="11"/>
      <color rgb="FF243447"/>
      <name val="Carlito"/>
    </font>
    <font>
      <i/>
      <sz val="11"/>
      <color rgb="FF1F1F1F"/>
      <name val="Carlito"/>
    </font>
    <font>
      <b/>
      <i/>
      <sz val="11"/>
      <color rgb="FFFFFFFF"/>
      <name val="Carlito"/>
    </font>
    <font>
      <b/>
      <sz val="11"/>
      <color rgb="FF1F1F1F"/>
      <name val="Carlito"/>
      <charset val="162"/>
    </font>
  </fonts>
  <fills count="26">
    <fill>
      <patternFill patternType="none"/>
    </fill>
    <fill>
      <patternFill patternType="gray125"/>
    </fill>
    <fill>
      <patternFill patternType="solid">
        <fgColor rgb="FF17365D"/>
      </patternFill>
    </fill>
    <fill>
      <patternFill patternType="solid">
        <fgColor rgb="FFEAF2F8"/>
      </patternFill>
    </fill>
    <fill>
      <patternFill patternType="solid">
        <fgColor rgb="FFF3F6F9"/>
      </patternFill>
    </fill>
    <fill>
      <patternFill patternType="solid">
        <fgColor rgb="FFFFF2CC"/>
      </patternFill>
    </fill>
    <fill>
      <patternFill patternType="solid">
        <fgColor rgb="FFE2F0D9"/>
      </patternFill>
    </fill>
    <fill>
      <patternFill patternType="solid">
        <fgColor rgb="FF0F766E"/>
      </patternFill>
    </fill>
    <fill>
      <patternFill patternType="solid">
        <fgColor rgb="FF1F4E78"/>
      </patternFill>
    </fill>
    <fill>
      <patternFill patternType="solid">
        <fgColor rgb="FFFFFFFF"/>
      </patternFill>
    </fill>
    <fill>
      <patternFill patternType="solid">
        <fgColor rgb="FF0F6B78"/>
      </patternFill>
    </fill>
    <fill>
      <patternFill patternType="solid">
        <fgColor rgb="FFE2F0D9"/>
      </patternFill>
    </fill>
    <fill>
      <patternFill patternType="solid">
        <fgColor rgb="FFDDEBF7"/>
      </patternFill>
    </fill>
    <fill>
      <patternFill patternType="solid">
        <fgColor rgb="FF17365D"/>
      </patternFill>
    </fill>
    <fill>
      <patternFill patternType="solid">
        <fgColor rgb="FFDDEBF7"/>
      </patternFill>
    </fill>
    <fill>
      <patternFill patternType="solid">
        <fgColor rgb="FF1F4E78"/>
      </patternFill>
    </fill>
    <fill>
      <patternFill patternType="solid">
        <fgColor rgb="FFFFF2CC"/>
      </patternFill>
    </fill>
    <fill>
      <patternFill patternType="solid">
        <fgColor rgb="FFDDEBF7"/>
      </patternFill>
    </fill>
    <fill>
      <patternFill patternType="solid">
        <fgColor rgb="FFD9EAD3"/>
      </patternFill>
    </fill>
    <fill>
      <patternFill patternType="solid">
        <fgColor rgb="FF0F777D"/>
      </patternFill>
    </fill>
    <fill>
      <patternFill patternType="solid">
        <fgColor rgb="FFEAF3E2"/>
      </patternFill>
    </fill>
    <fill>
      <patternFill patternType="solid">
        <fgColor rgb="FF1F4E78"/>
      </patternFill>
    </fill>
    <fill>
      <patternFill patternType="solid">
        <fgColor rgb="FF5B9BD5"/>
      </patternFill>
    </fill>
    <fill>
      <patternFill patternType="solid">
        <fgColor rgb="FF1F4E78"/>
      </patternFill>
    </fill>
    <fill>
      <patternFill patternType="solid">
        <fgColor rgb="FFD9EAF7"/>
      </patternFill>
    </fill>
    <fill>
      <patternFill patternType="solid">
        <fgColor rgb="FFE2F0D9"/>
      </patternFill>
    </fill>
  </fills>
  <borders count="9">
    <border>
      <left/>
      <right/>
      <top/>
      <bottom/>
      <diagonal/>
    </border>
    <border>
      <left style="thin">
        <color rgb="FFB8C6D1"/>
      </left>
      <right style="thin">
        <color rgb="FFB8C6D1"/>
      </right>
      <top style="thin">
        <color rgb="FFB8C6D1"/>
      </top>
      <bottom style="thin">
        <color rgb="FFB8C6D1"/>
      </bottom>
      <diagonal/>
    </border>
    <border>
      <left style="thin">
        <color rgb="FFB7C9D6"/>
      </left>
      <right style="thin">
        <color rgb="FFB7C9D6"/>
      </right>
      <top style="thin">
        <color rgb="FFB7C9D6"/>
      </top>
      <bottom style="thin">
        <color rgb="FFB7C9D6"/>
      </bottom>
      <diagonal/>
    </border>
    <border>
      <left style="thin">
        <color rgb="FFFFFFFF"/>
      </left>
      <right style="thin">
        <color rgb="FFFFFFFF"/>
      </right>
      <top style="thin">
        <color rgb="FFFFFFFF"/>
      </top>
      <bottom style="thin">
        <color rgb="FFFFFFFF"/>
      </bottom>
      <diagonal/>
    </border>
    <border>
      <left style="thin">
        <color rgb="FFD9E2F3"/>
      </left>
      <right style="thin">
        <color rgb="FFD9E2F3"/>
      </right>
      <top style="thin">
        <color rgb="FFD9E2F3"/>
      </top>
      <bottom style="thin">
        <color rgb="FFD9E2F3"/>
      </bottom>
      <diagonal/>
    </border>
    <border>
      <left style="thin">
        <color rgb="FFB8C6D1"/>
      </left>
      <right/>
      <top style="thin">
        <color rgb="FFB8C6D1"/>
      </top>
      <bottom style="thin">
        <color rgb="FFB8C6D1"/>
      </bottom>
      <diagonal/>
    </border>
    <border>
      <left/>
      <right style="thin">
        <color rgb="FFB8C6D1"/>
      </right>
      <top style="thin">
        <color rgb="FFB8C6D1"/>
      </top>
      <bottom style="thin">
        <color rgb="FFB8C6D1"/>
      </bottom>
      <diagonal/>
    </border>
    <border>
      <left style="thin">
        <color rgb="FFB8C6D1"/>
      </left>
      <right style="thin">
        <color rgb="FFB8C6D1"/>
      </right>
      <top style="thin">
        <color rgb="FFB8C6D1"/>
      </top>
      <bottom/>
      <diagonal/>
    </border>
    <border>
      <left style="thin">
        <color rgb="FFB8C6D1"/>
      </left>
      <right style="thin">
        <color rgb="FFB8C6D1"/>
      </right>
      <top/>
      <bottom style="thin">
        <color rgb="FFB8C6D1"/>
      </bottom>
      <diagonal/>
    </border>
  </borders>
  <cellStyleXfs count="2">
    <xf numFmtId="0" fontId="0" fillId="0" borderId="0"/>
    <xf numFmtId="43" fontId="18" fillId="0" borderId="0" applyFont="0" applyFill="0" applyBorder="0" applyAlignment="0" applyProtection="0"/>
  </cellStyleXfs>
  <cellXfs count="90">
    <xf numFmtId="0" fontId="0" fillId="0" borderId="0" xfId="0"/>
    <xf numFmtId="0" fontId="4" fillId="4" borderId="1" xfId="0" applyNumberFormat="1" applyFont="1" applyFill="1" applyBorder="1" applyAlignment="1">
      <alignment vertical="center" wrapText="1"/>
    </xf>
    <xf numFmtId="0" fontId="2" fillId="5" borderId="1" xfId="0" applyNumberFormat="1" applyFont="1" applyFill="1" applyBorder="1" applyAlignment="1">
      <alignment horizontal="left" vertical="center" wrapText="1"/>
    </xf>
    <xf numFmtId="0" fontId="4" fillId="6" borderId="1" xfId="0" applyNumberFormat="1" applyFont="1" applyFill="1" applyBorder="1" applyAlignment="1">
      <alignment horizontal="center" vertical="center" wrapText="1"/>
    </xf>
    <xf numFmtId="4" fontId="2" fillId="5" borderId="1" xfId="0" applyNumberFormat="1" applyFont="1" applyFill="1" applyBorder="1" applyAlignment="1">
      <alignment horizontal="left" vertical="center" wrapText="1"/>
    </xf>
    <xf numFmtId="0" fontId="8" fillId="7" borderId="1" xfId="0" applyNumberFormat="1" applyFont="1" applyFill="1" applyBorder="1" applyAlignment="1">
      <alignment horizontal="center" vertical="center" wrapText="1"/>
    </xf>
    <xf numFmtId="0" fontId="2" fillId="0" borderId="1" xfId="0" applyNumberFormat="1" applyFont="1" applyFill="1" applyBorder="1" applyAlignment="1">
      <alignment vertical="top" wrapText="1"/>
    </xf>
    <xf numFmtId="0" fontId="4" fillId="6" borderId="0" xfId="0" applyNumberFormat="1" applyFont="1" applyFill="1" applyBorder="1" applyAlignment="1">
      <alignment horizontal="center" vertical="center" wrapText="1"/>
    </xf>
    <xf numFmtId="0" fontId="2" fillId="5" borderId="0" xfId="0" applyNumberFormat="1" applyFont="1" applyFill="1" applyBorder="1" applyAlignment="1">
      <alignment horizontal="left" vertical="center" wrapText="1"/>
    </xf>
    <xf numFmtId="4" fontId="2" fillId="5" borderId="0" xfId="0" applyNumberFormat="1" applyFont="1" applyFill="1" applyBorder="1" applyAlignment="1">
      <alignment horizontal="left" vertical="center" wrapText="1"/>
    </xf>
    <xf numFmtId="0" fontId="8" fillId="8" borderId="1" xfId="0" applyNumberFormat="1" applyFont="1" applyFill="1" applyBorder="1" applyAlignment="1">
      <alignment horizontal="center" vertical="center" wrapText="1"/>
    </xf>
    <xf numFmtId="0" fontId="9" fillId="9" borderId="1" xfId="0" applyNumberFormat="1" applyFont="1" applyFill="1" applyBorder="1" applyAlignment="1">
      <alignment vertical="top" wrapText="1"/>
    </xf>
    <xf numFmtId="1" fontId="12" fillId="11" borderId="2" xfId="0" applyNumberFormat="1" applyFont="1" applyFill="1" applyBorder="1" applyAlignment="1">
      <alignment horizontal="center" vertical="center"/>
    </xf>
    <xf numFmtId="0" fontId="0" fillId="0" borderId="0" xfId="0" applyNumberFormat="1" applyFont="1" applyFill="1" applyBorder="1" applyAlignment="1">
      <alignment vertical="center"/>
    </xf>
    <xf numFmtId="0" fontId="3" fillId="10" borderId="3" xfId="0" applyNumberFormat="1" applyFont="1" applyFill="1" applyBorder="1" applyAlignment="1">
      <alignment horizontal="center" vertical="center" wrapText="1"/>
    </xf>
    <xf numFmtId="0" fontId="12" fillId="0" borderId="4" xfId="0" applyNumberFormat="1" applyFont="1" applyFill="1" applyBorder="1" applyAlignment="1">
      <alignment vertical="center"/>
    </xf>
    <xf numFmtId="1" fontId="11" fillId="11" borderId="4" xfId="0" applyNumberFormat="1" applyFont="1" applyFill="1" applyBorder="1" applyAlignment="1">
      <alignment horizontal="center" vertical="center"/>
    </xf>
    <xf numFmtId="0" fontId="0" fillId="0" borderId="0" xfId="0" applyNumberFormat="1" applyFont="1" applyFill="1" applyBorder="1" applyAlignment="1">
      <alignment wrapText="1"/>
    </xf>
    <xf numFmtId="0" fontId="13" fillId="13" borderId="0" xfId="0" applyNumberFormat="1" applyFont="1" applyFill="1" applyBorder="1" applyAlignment="1">
      <alignment horizontal="center" wrapText="1"/>
    </xf>
    <xf numFmtId="0" fontId="14" fillId="12" borderId="0" xfId="0" applyNumberFormat="1" applyFont="1" applyFill="1" applyBorder="1" applyAlignment="1">
      <alignment wrapText="1"/>
    </xf>
    <xf numFmtId="0" fontId="2" fillId="5" borderId="1" xfId="0" applyNumberFormat="1" applyFont="1" applyFill="1" applyBorder="1" applyAlignment="1">
      <alignment horizontal="left" vertical="center" wrapText="1"/>
    </xf>
    <xf numFmtId="0" fontId="0" fillId="0" borderId="0" xfId="0" applyNumberFormat="1" applyFont="1" applyFill="1" applyBorder="1" applyAlignment="1">
      <alignment vertical="center"/>
    </xf>
    <xf numFmtId="0" fontId="2" fillId="5" borderId="1" xfId="0" applyNumberFormat="1" applyFont="1" applyFill="1" applyBorder="1" applyAlignment="1">
      <alignment horizontal="left" vertical="center" wrapText="1"/>
    </xf>
    <xf numFmtId="0" fontId="15" fillId="0" borderId="0" xfId="0" applyFont="1"/>
    <xf numFmtId="4" fontId="2" fillId="5" borderId="1" xfId="0" applyNumberFormat="1"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0" fontId="13" fillId="15" borderId="0" xfId="0" applyNumberFormat="1" applyFont="1" applyFill="1" applyBorder="1"/>
    <xf numFmtId="0" fontId="6" fillId="15" borderId="1" xfId="0" applyNumberFormat="1" applyFont="1" applyFill="1" applyBorder="1" applyAlignment="1">
      <alignment horizontal="center" vertical="center" wrapText="1"/>
    </xf>
    <xf numFmtId="0" fontId="2" fillId="16" borderId="1" xfId="0" applyNumberFormat="1" applyFont="1" applyFill="1" applyBorder="1" applyAlignment="1">
      <alignment horizontal="left" vertical="center" wrapText="1"/>
    </xf>
    <xf numFmtId="3" fontId="2" fillId="16" borderId="1" xfId="0" applyNumberFormat="1" applyFont="1" applyFill="1" applyBorder="1" applyAlignment="1">
      <alignment horizontal="left" vertical="center" wrapText="1"/>
    </xf>
    <xf numFmtId="0" fontId="0" fillId="16" borderId="0" xfId="0" applyNumberFormat="1" applyFont="1" applyFill="1" applyBorder="1"/>
    <xf numFmtId="166" fontId="10" fillId="18" borderId="2" xfId="0" applyNumberFormat="1" applyFont="1" applyFill="1" applyBorder="1" applyAlignment="1">
      <alignment horizontal="center" vertical="center"/>
    </xf>
    <xf numFmtId="3" fontId="0" fillId="0" borderId="0" xfId="0" applyNumberFormat="1" applyFont="1" applyFill="1" applyBorder="1"/>
    <xf numFmtId="0" fontId="0" fillId="17" borderId="0" xfId="0" applyNumberFormat="1" applyFont="1" applyFill="1" applyBorder="1" applyAlignment="1">
      <alignment wrapText="1"/>
    </xf>
    <xf numFmtId="0" fontId="16" fillId="20" borderId="1" xfId="0" applyNumberFormat="1" applyFont="1" applyFill="1" applyBorder="1" applyAlignment="1">
      <alignment vertical="center" wrapText="1"/>
    </xf>
    <xf numFmtId="3" fontId="16" fillId="20" borderId="1" xfId="0" applyNumberFormat="1" applyFont="1" applyFill="1" applyBorder="1" applyAlignment="1">
      <alignment vertical="center" wrapText="1"/>
    </xf>
    <xf numFmtId="3" fontId="16" fillId="20" borderId="1" xfId="0" applyNumberFormat="1" applyFont="1" applyFill="1" applyBorder="1" applyAlignment="1">
      <alignment horizontal="right" vertical="center" wrapText="1"/>
    </xf>
    <xf numFmtId="3" fontId="16" fillId="20" borderId="1" xfId="0" applyNumberFormat="1" applyFont="1" applyFill="1" applyBorder="1" applyAlignment="1">
      <alignment horizontal="center" vertical="center" wrapText="1"/>
    </xf>
    <xf numFmtId="3" fontId="0" fillId="20" borderId="0" xfId="0" applyNumberFormat="1" applyFont="1" applyFill="1" applyBorder="1" applyAlignment="1">
      <alignment wrapText="1"/>
    </xf>
    <xf numFmtId="0" fontId="0" fillId="20" borderId="0" xfId="0" applyNumberFormat="1" applyFont="1" applyFill="1" applyBorder="1" applyAlignment="1">
      <alignment wrapText="1"/>
    </xf>
    <xf numFmtId="0" fontId="13" fillId="21" borderId="0" xfId="0" applyNumberFormat="1" applyFont="1" applyFill="1" applyBorder="1"/>
    <xf numFmtId="0" fontId="13" fillId="22" borderId="0" xfId="0" applyNumberFormat="1" applyFont="1" applyFill="1" applyBorder="1" applyAlignment="1">
      <alignment wrapText="1"/>
    </xf>
    <xf numFmtId="0" fontId="0" fillId="0" borderId="0" xfId="0" applyNumberFormat="1" applyFont="1" applyFill="1" applyAlignment="1">
      <alignment wrapText="1"/>
    </xf>
    <xf numFmtId="166" fontId="0" fillId="0" borderId="0" xfId="0" applyNumberFormat="1" applyFont="1" applyFill="1" applyAlignment="1">
      <alignment wrapText="1"/>
    </xf>
    <xf numFmtId="0" fontId="19" fillId="18" borderId="0" xfId="0" applyNumberFormat="1" applyFont="1" applyFill="1" applyAlignment="1">
      <alignment wrapText="1"/>
    </xf>
    <xf numFmtId="166" fontId="19" fillId="18" borderId="0" xfId="0" applyNumberFormat="1" applyFont="1" applyFill="1" applyAlignment="1">
      <alignment wrapText="1"/>
    </xf>
    <xf numFmtId="10" fontId="0" fillId="0" borderId="0" xfId="0" applyNumberFormat="1" applyFont="1" applyFill="1" applyAlignment="1">
      <alignment wrapText="1"/>
    </xf>
    <xf numFmtId="10" fontId="19" fillId="18" borderId="0" xfId="0" applyNumberFormat="1" applyFont="1" applyFill="1" applyAlignment="1">
      <alignment wrapText="1"/>
    </xf>
    <xf numFmtId="10" fontId="16" fillId="20" borderId="1" xfId="0" applyNumberFormat="1" applyFont="1" applyFill="1" applyBorder="1" applyAlignment="1">
      <alignment horizontal="right" vertical="center" wrapText="1"/>
    </xf>
    <xf numFmtId="10" fontId="0" fillId="20" borderId="0" xfId="0" applyNumberFormat="1" applyFont="1" applyFill="1" applyBorder="1" applyAlignment="1">
      <alignment wrapText="1"/>
    </xf>
    <xf numFmtId="0" fontId="17" fillId="25" borderId="1" xfId="0" applyNumberFormat="1" applyFont="1" applyFill="1" applyBorder="1" applyAlignment="1">
      <alignment vertical="center" wrapText="1"/>
    </xf>
    <xf numFmtId="3" fontId="17" fillId="25" borderId="1" xfId="0" applyNumberFormat="1" applyFont="1" applyFill="1" applyBorder="1" applyAlignment="1">
      <alignment vertical="center" wrapText="1"/>
    </xf>
    <xf numFmtId="10" fontId="17" fillId="25" borderId="1" xfId="0" applyNumberFormat="1" applyFont="1" applyFill="1" applyBorder="1" applyAlignment="1">
      <alignment vertical="center" wrapText="1"/>
    </xf>
    <xf numFmtId="0" fontId="21" fillId="24" borderId="1" xfId="0" applyNumberFormat="1" applyFont="1" applyFill="1" applyBorder="1" applyAlignment="1">
      <alignment horizontal="center" vertical="center" wrapText="1"/>
    </xf>
    <xf numFmtId="0" fontId="22" fillId="0" borderId="0" xfId="0" applyFont="1"/>
    <xf numFmtId="0" fontId="25" fillId="14" borderId="2" xfId="0" applyNumberFormat="1" applyFont="1" applyFill="1" applyBorder="1" applyAlignment="1">
      <alignment horizontal="left" vertical="center" wrapText="1"/>
    </xf>
    <xf numFmtId="165" fontId="10" fillId="18" borderId="2" xfId="0" applyNumberFormat="1" applyFont="1" applyFill="1" applyBorder="1" applyAlignment="1">
      <alignment horizontal="center" vertical="center"/>
    </xf>
    <xf numFmtId="0" fontId="23" fillId="18" borderId="2" xfId="0" applyNumberFormat="1" applyFont="1" applyFill="1" applyBorder="1" applyAlignment="1">
      <alignment horizontal="center" vertical="center" wrapText="1"/>
    </xf>
    <xf numFmtId="166" fontId="27" fillId="18" borderId="2" xfId="0" applyNumberFormat="1" applyFont="1" applyFill="1" applyBorder="1" applyAlignment="1">
      <alignment horizontal="center" vertical="center" wrapText="1"/>
    </xf>
    <xf numFmtId="0" fontId="2" fillId="5" borderId="1" xfId="0" applyNumberFormat="1" applyFont="1" applyFill="1" applyBorder="1" applyAlignment="1">
      <alignment horizontal="left" vertical="center" wrapText="1"/>
    </xf>
    <xf numFmtId="0" fontId="0" fillId="0" borderId="0" xfId="0" applyNumberFormat="1" applyFont="1" applyFill="1" applyBorder="1" applyAlignment="1">
      <alignment vertical="center"/>
    </xf>
    <xf numFmtId="0" fontId="2" fillId="16" borderId="1" xfId="0" applyNumberFormat="1" applyFont="1" applyFill="1" applyBorder="1" applyAlignment="1">
      <alignment horizontal="left" vertical="center" wrapText="1"/>
    </xf>
    <xf numFmtId="3" fontId="2" fillId="16" borderId="1" xfId="0" applyNumberFormat="1" applyFont="1" applyFill="1" applyBorder="1" applyAlignment="1">
      <alignment horizontal="left" vertical="center" wrapText="1"/>
    </xf>
    <xf numFmtId="0" fontId="5" fillId="3" borderId="0" xfId="0" applyNumberFormat="1" applyFont="1" applyFill="1" applyBorder="1" applyAlignment="1">
      <alignment vertical="center" wrapText="1"/>
    </xf>
    <xf numFmtId="0" fontId="3" fillId="7" borderId="0" xfId="0" applyNumberFormat="1" applyFont="1" applyFill="1" applyBorder="1" applyAlignment="1">
      <alignment horizontal="left" vertical="center" wrapText="1"/>
    </xf>
    <xf numFmtId="0" fontId="2" fillId="5" borderId="1" xfId="0" applyNumberFormat="1" applyFont="1" applyFill="1" applyBorder="1" applyAlignment="1">
      <alignment vertical="center" wrapText="1"/>
    </xf>
    <xf numFmtId="0" fontId="7" fillId="4" borderId="0" xfId="0" applyNumberFormat="1" applyFont="1" applyFill="1" applyBorder="1" applyAlignment="1">
      <alignment vertical="center" wrapText="1"/>
    </xf>
    <xf numFmtId="0" fontId="5" fillId="4" borderId="0" xfId="0" applyNumberFormat="1" applyFont="1" applyFill="1" applyBorder="1" applyAlignment="1">
      <alignment vertical="center" wrapText="1"/>
    </xf>
    <xf numFmtId="0" fontId="0" fillId="16" borderId="0" xfId="0" applyNumberFormat="1" applyFont="1" applyFill="1" applyBorder="1" applyAlignment="1">
      <alignment vertical="center"/>
    </xf>
    <xf numFmtId="0" fontId="6" fillId="15" borderId="5" xfId="0" applyNumberFormat="1" applyFont="1" applyFill="1" applyBorder="1" applyAlignment="1">
      <alignment horizontal="center" vertical="center" wrapText="1"/>
    </xf>
    <xf numFmtId="0" fontId="6" fillId="15" borderId="6" xfId="0" applyNumberFormat="1" applyFont="1" applyFill="1" applyBorder="1" applyAlignment="1">
      <alignment horizontal="center" vertical="center" wrapText="1"/>
    </xf>
    <xf numFmtId="0" fontId="1" fillId="15" borderId="0" xfId="0" applyNumberFormat="1" applyFont="1" applyFill="1" applyBorder="1" applyAlignment="1">
      <alignment horizontal="left" vertical="center" wrapText="1"/>
    </xf>
    <xf numFmtId="0" fontId="13" fillId="15"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0" fillId="0" borderId="0" xfId="0" applyNumberFormat="1" applyFont="1" applyFill="1" applyBorder="1" applyAlignment="1">
      <alignment vertical="center" wrapText="1"/>
    </xf>
    <xf numFmtId="0" fontId="3" fillId="15" borderId="0" xfId="0" applyNumberFormat="1" applyFont="1" applyFill="1" applyBorder="1" applyAlignment="1">
      <alignment horizontal="left" vertical="center" wrapText="1"/>
    </xf>
    <xf numFmtId="164" fontId="2" fillId="16" borderId="1" xfId="0" applyNumberFormat="1" applyFont="1" applyFill="1" applyBorder="1" applyAlignment="1">
      <alignment horizontal="left" vertical="center" wrapText="1"/>
    </xf>
    <xf numFmtId="0" fontId="26" fillId="19" borderId="2" xfId="0" applyNumberFormat="1" applyFont="1" applyFill="1" applyBorder="1" applyAlignment="1">
      <alignment horizontal="left" vertical="center" wrapText="1"/>
    </xf>
    <xf numFmtId="0" fontId="13" fillId="19" borderId="2" xfId="0" applyNumberFormat="1" applyFont="1" applyFill="1" applyBorder="1" applyAlignment="1">
      <alignment horizontal="center" vertical="center" wrapText="1"/>
    </xf>
    <xf numFmtId="3" fontId="24" fillId="18" borderId="7" xfId="0" applyNumberFormat="1" applyFont="1" applyFill="1" applyBorder="1" applyAlignment="1">
      <alignment horizontal="center" vertical="center" wrapText="1"/>
    </xf>
    <xf numFmtId="3" fontId="24" fillId="18" borderId="8" xfId="0" applyNumberFormat="1" applyFont="1" applyFill="1" applyBorder="1" applyAlignment="1">
      <alignment horizontal="center" vertical="center" wrapText="1"/>
    </xf>
    <xf numFmtId="0" fontId="24" fillId="17" borderId="7" xfId="0" applyNumberFormat="1" applyFont="1" applyFill="1" applyBorder="1" applyAlignment="1">
      <alignment horizontal="center" vertical="center" wrapText="1"/>
    </xf>
    <xf numFmtId="0" fontId="24" fillId="17" borderId="8" xfId="0" applyNumberFormat="1" applyFont="1" applyFill="1" applyBorder="1" applyAlignment="1">
      <alignment horizontal="center" vertical="center" wrapText="1"/>
    </xf>
    <xf numFmtId="0" fontId="6" fillId="15" borderId="7" xfId="0" applyNumberFormat="1" applyFont="1" applyFill="1" applyBorder="1" applyAlignment="1">
      <alignment horizontal="center" vertical="center" wrapText="1"/>
    </xf>
    <xf numFmtId="0" fontId="6" fillId="15" borderId="8" xfId="0" applyNumberFormat="1" applyFont="1" applyFill="1" applyBorder="1" applyAlignment="1">
      <alignment horizontal="center" vertical="center" wrapText="1"/>
    </xf>
    <xf numFmtId="0" fontId="4" fillId="17" borderId="7" xfId="0" applyNumberFormat="1" applyFont="1" applyFill="1" applyBorder="1" applyAlignment="1">
      <alignment horizontal="center" vertical="center" wrapText="1"/>
    </xf>
    <xf numFmtId="0" fontId="4" fillId="17" borderId="8" xfId="0" applyNumberFormat="1" applyFont="1" applyFill="1" applyBorder="1" applyAlignment="1">
      <alignment horizontal="center" vertical="center" wrapText="1"/>
    </xf>
    <xf numFmtId="0" fontId="20" fillId="23" borderId="0" xfId="0" applyNumberFormat="1" applyFont="1" applyFill="1" applyBorder="1" applyAlignment="1">
      <alignment horizontal="center" vertical="center" wrapText="1"/>
    </xf>
    <xf numFmtId="0" fontId="12" fillId="14" borderId="1" xfId="0" applyNumberFormat="1" applyFont="1" applyFill="1" applyBorder="1" applyAlignment="1">
      <alignment horizontal="left" vertical="center" wrapText="1"/>
    </xf>
    <xf numFmtId="0" fontId="1" fillId="2" borderId="0" xfId="0" applyNumberFormat="1" applyFont="1" applyFill="1" applyBorder="1" applyAlignment="1">
      <alignment horizontal="left" vertical="center" wrapText="1"/>
    </xf>
  </cellXfs>
  <cellStyles count="2">
    <cellStyle name="Normal" xfId="0" builtinId="0"/>
    <cellStyle name="Virgül" xfId="1" xr:uid="{00000000-0005-0000-0000-000001000000}"/>
  </cellStyles>
  <dxfs count="4">
    <dxf>
      <font>
        <b/>
        <color rgb="FF006100"/>
      </font>
      <fill>
        <patternFill>
          <bgColor rgb="FFC6E0B4"/>
        </patternFill>
      </fill>
    </dxf>
    <dxf>
      <font>
        <b/>
        <color rgb="FF9C0006"/>
      </font>
      <fill>
        <patternFill>
          <bgColor rgb="FFF4CCCC"/>
        </patternFill>
      </fill>
    </dxf>
    <dxf>
      <font>
        <color rgb="FF1F1F1F"/>
      </font>
      <fill>
        <patternFill>
          <bgColor rgb="FFE7E6E6"/>
        </patternFill>
      </fill>
    </dxf>
    <dxf>
      <font>
        <b/>
        <color rgb="FF006100"/>
      </font>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ebdcf8116c044a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1143000</xdr:colOff>
      <xdr:row>49</xdr:row>
      <xdr:rowOff>47625</xdr:rowOff>
    </xdr:to>
    <xdr:sp macro="" textlink="">
      <xdr:nvSpPr>
        <xdr:cNvPr id="1026" name="Text Box 2" hidden="1">
          <a:extLst>
            <a:ext uri="{FF2B5EF4-FFF2-40B4-BE49-F238E27FC236}">
              <a16:creationId xmlns:a16="http://schemas.microsoft.com/office/drawing/2014/main"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tc={0B8AAC11-109B-6311-42BF-32F177E245F4}" id="{6105C621-DF0F-85C4-11AE-B892FC1F9C3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showGridLines="0" tabSelected="1" zoomScale="85" zoomScaleNormal="85" workbookViewId="0">
      <selection activeCell="A12" sqref="A12:O12"/>
    </sheetView>
  </sheetViews>
  <sheetFormatPr defaultRowHeight="14.25"/>
  <cols>
    <col min="1" max="1" width="12" customWidth="1"/>
    <col min="2" max="2" width="18" customWidth="1"/>
    <col min="3" max="3" width="22" customWidth="1"/>
    <col min="4" max="4" width="16" customWidth="1"/>
    <col min="5" max="5" width="18" customWidth="1"/>
    <col min="6" max="6" width="11" customWidth="1"/>
    <col min="7" max="10" width="14" customWidth="1"/>
    <col min="11" max="12" width="16" customWidth="1"/>
    <col min="13" max="13" width="18" customWidth="1"/>
    <col min="14" max="14" width="25" customWidth="1"/>
    <col min="15" max="15" width="14" customWidth="1"/>
    <col min="16" max="16" width="18" customWidth="1"/>
  </cols>
  <sheetData>
    <row r="1" spans="1:16" ht="30" customHeight="1">
      <c r="A1" s="71" t="s">
        <v>0</v>
      </c>
      <c r="B1" s="71"/>
      <c r="C1" s="71"/>
      <c r="D1" s="71"/>
      <c r="E1" s="71"/>
      <c r="F1" s="71"/>
      <c r="G1" s="71"/>
      <c r="H1" s="71"/>
      <c r="I1" s="71"/>
      <c r="J1" s="71"/>
      <c r="K1" s="71"/>
      <c r="L1" s="71"/>
      <c r="M1" s="71"/>
      <c r="N1" s="71"/>
      <c r="O1" s="72"/>
      <c r="P1" s="26"/>
    </row>
    <row r="2" spans="1:16" ht="33.950000000000003" customHeight="1">
      <c r="A2" s="73" t="s">
        <v>2130</v>
      </c>
      <c r="B2" s="73"/>
      <c r="C2" s="73"/>
      <c r="D2" s="73"/>
      <c r="E2" s="73"/>
      <c r="F2" s="73"/>
      <c r="G2" s="73"/>
      <c r="H2" s="73"/>
      <c r="I2" s="73"/>
      <c r="J2" s="73"/>
      <c r="K2" s="73"/>
      <c r="L2" s="73"/>
      <c r="M2" s="73"/>
      <c r="N2" s="73"/>
      <c r="O2" s="74"/>
      <c r="P2" s="17"/>
    </row>
    <row r="3" spans="1:16">
      <c r="A3" s="13"/>
      <c r="B3" s="13"/>
      <c r="C3" s="13"/>
      <c r="D3" s="13"/>
      <c r="E3" s="13"/>
      <c r="F3" s="13"/>
      <c r="G3" s="13"/>
      <c r="H3" s="21"/>
      <c r="I3" s="13"/>
      <c r="J3" s="21"/>
      <c r="K3" s="13"/>
      <c r="L3" s="13"/>
      <c r="M3" s="13"/>
      <c r="N3" s="13"/>
      <c r="O3" s="13"/>
    </row>
    <row r="4" spans="1:16" ht="15">
      <c r="A4" s="75" t="s">
        <v>1</v>
      </c>
      <c r="B4" s="75"/>
      <c r="C4" s="75"/>
      <c r="D4" s="75"/>
      <c r="E4" s="75"/>
      <c r="F4" s="75"/>
      <c r="G4" s="75"/>
      <c r="H4" s="75"/>
      <c r="I4" s="75"/>
      <c r="J4" s="75"/>
      <c r="K4" s="75"/>
      <c r="L4" s="75"/>
      <c r="M4" s="75"/>
      <c r="N4" s="75"/>
      <c r="O4" s="72"/>
      <c r="P4" s="26"/>
    </row>
    <row r="5" spans="1:16" ht="33" customHeight="1">
      <c r="A5" s="1" t="s">
        <v>2</v>
      </c>
      <c r="B5" s="61"/>
      <c r="C5" s="61"/>
      <c r="D5" s="61"/>
      <c r="E5" s="1" t="s">
        <v>3</v>
      </c>
      <c r="F5" s="61"/>
      <c r="G5" s="61"/>
      <c r="H5" s="61"/>
      <c r="I5" s="61"/>
      <c r="J5" s="28"/>
      <c r="K5" s="1" t="s">
        <v>4</v>
      </c>
      <c r="L5" s="61"/>
      <c r="M5" s="61"/>
      <c r="N5" s="61"/>
      <c r="O5" s="68"/>
      <c r="P5" s="30"/>
    </row>
    <row r="6" spans="1:16" ht="27.75" customHeight="1">
      <c r="A6" s="1" t="s">
        <v>5</v>
      </c>
      <c r="B6" s="61"/>
      <c r="C6" s="61"/>
      <c r="D6" s="61"/>
      <c r="E6" s="1" t="s">
        <v>2096</v>
      </c>
      <c r="F6" s="62">
        <v>8000000</v>
      </c>
      <c r="G6" s="62"/>
      <c r="H6" s="62"/>
      <c r="I6" s="62"/>
      <c r="J6" s="29"/>
      <c r="K6" s="1" t="s">
        <v>6</v>
      </c>
      <c r="L6" s="76"/>
      <c r="M6" s="76"/>
      <c r="N6" s="76"/>
      <c r="O6" s="68"/>
      <c r="P6" s="30"/>
    </row>
    <row r="7" spans="1:16">
      <c r="A7" s="13"/>
      <c r="B7" s="13"/>
      <c r="C7" s="13"/>
      <c r="D7" s="13"/>
      <c r="E7" s="13"/>
      <c r="F7" s="13"/>
      <c r="G7" s="13"/>
      <c r="H7" s="21"/>
      <c r="I7" s="13"/>
      <c r="J7" s="21"/>
      <c r="K7" s="13"/>
      <c r="L7" s="13"/>
      <c r="M7" s="13"/>
      <c r="N7" s="13"/>
      <c r="O7" s="13"/>
    </row>
    <row r="8" spans="1:16" ht="15">
      <c r="A8" s="75" t="s">
        <v>2097</v>
      </c>
      <c r="B8" s="75"/>
      <c r="C8" s="75"/>
      <c r="D8" s="75"/>
      <c r="E8" s="75"/>
      <c r="F8" s="75"/>
      <c r="G8" s="75"/>
      <c r="H8" s="75"/>
      <c r="I8" s="75"/>
      <c r="J8" s="75"/>
      <c r="K8" s="75"/>
      <c r="L8" s="75"/>
      <c r="M8" s="75"/>
      <c r="N8" s="75"/>
      <c r="O8" s="72"/>
      <c r="P8" s="26"/>
    </row>
    <row r="9" spans="1:16" ht="36" customHeight="1">
      <c r="A9" s="85" t="s">
        <v>2098</v>
      </c>
      <c r="B9" s="79">
        <f>IF(COUNT(K15:K29)=0,"",SUM(K15:K29))</f>
        <v>100</v>
      </c>
      <c r="C9" s="81" t="s">
        <v>2099</v>
      </c>
      <c r="D9" s="79">
        <f>IF(COUNT(L15:L29)=0,"",SUM(L15:L29))</f>
        <v>265</v>
      </c>
      <c r="E9" s="81" t="s">
        <v>2100</v>
      </c>
      <c r="F9" s="79">
        <f>IF(OR(D9="",F6="",F6=0),"",D9/(F6/90000))</f>
        <v>2.9812500000000002</v>
      </c>
      <c r="G9" s="81" t="s">
        <v>2101</v>
      </c>
      <c r="H9" s="79">
        <f>IF(F9="","",IF(F9&lt;2,0,IF(F9&lt;4,4,IF(F9&lt;6,8,12.5))))</f>
        <v>4</v>
      </c>
      <c r="I9" s="55"/>
      <c r="J9" s="77" t="s">
        <v>2102</v>
      </c>
      <c r="K9" s="77"/>
      <c r="L9" s="56">
        <f>IF(OR(COUNTIF($C$15:$C$29,"&lt;&gt;")=0,COUNTIFS($C$15:$C$29,"&lt;&gt;",$O$15:$O$29,"EŞLEŞMEDİ")&gt;0,COUNTIFS($C$15:$C$29,"&lt;&gt;",$O$15:$O$29,"")&gt;0,COUNTIF($C$15:$C$29,"&lt;&gt;")&lt;&gt;COUNTIFS($C$15:$C$29,"&lt;&gt;",$P$15:$P$29,"&gt;0")),"",SUMIFS($P$15:$P$29,$C$15:$C$29,"&lt;&gt;",$O$15:$O$29,"&gt;=4",$O$15:$O$29,"&lt;=6")/SUMIF($C$15:$C$29,"&lt;&gt;",$P$15:$P$29))</f>
        <v>0.42142857142857143</v>
      </c>
      <c r="M9" s="78" t="s">
        <v>2103</v>
      </c>
      <c r="N9" s="78"/>
      <c r="O9" s="31">
        <f>IF(L9="","",IF(L9=0,0,IF(L9&lt;=20%,1,IF(L9&lt;=50%,4,7.5))))</f>
        <v>4</v>
      </c>
    </row>
    <row r="10" spans="1:16" ht="36" customHeight="1">
      <c r="A10" s="86"/>
      <c r="B10" s="80"/>
      <c r="C10" s="82"/>
      <c r="D10" s="80"/>
      <c r="E10" s="82"/>
      <c r="F10" s="80"/>
      <c r="G10" s="82"/>
      <c r="H10" s="80"/>
      <c r="I10" s="55"/>
      <c r="J10" s="77" t="s">
        <v>2104</v>
      </c>
      <c r="K10" s="77"/>
      <c r="L10" s="58">
        <f>IF(OR(H9="",O9=""),"",H9+O9)</f>
        <v>8</v>
      </c>
      <c r="M10" s="78" t="s">
        <v>2105</v>
      </c>
      <c r="N10" s="78"/>
      <c r="O10" s="57" t="str">
        <f>IF(F9="","",IF(F9&gt;=2,"SAĞLANIYOR","SAĞLANMIYOR"))</f>
        <v>SAĞLANIYOR</v>
      </c>
    </row>
    <row r="11" spans="1:16" ht="15">
      <c r="A11" s="75" t="s">
        <v>7</v>
      </c>
      <c r="B11" s="75"/>
      <c r="C11" s="75"/>
      <c r="D11" s="75"/>
      <c r="E11" s="75"/>
      <c r="F11" s="75"/>
      <c r="G11" s="75"/>
      <c r="H11" s="75"/>
      <c r="I11" s="75"/>
      <c r="J11" s="75"/>
      <c r="K11" s="75"/>
      <c r="L11" s="75"/>
      <c r="M11" s="75"/>
      <c r="N11" s="75"/>
      <c r="O11" s="72"/>
      <c r="P11" s="26"/>
    </row>
    <row r="12" spans="1:16" ht="33.950000000000003" customHeight="1">
      <c r="A12" s="63" t="s">
        <v>8</v>
      </c>
      <c r="B12" s="63"/>
      <c r="C12" s="63"/>
      <c r="D12" s="63"/>
      <c r="E12" s="63"/>
      <c r="F12" s="63"/>
      <c r="G12" s="63"/>
      <c r="H12" s="63"/>
      <c r="I12" s="63"/>
      <c r="J12" s="63"/>
      <c r="K12" s="63"/>
      <c r="L12" s="63"/>
      <c r="M12" s="63"/>
      <c r="N12" s="63"/>
      <c r="O12" s="60"/>
    </row>
    <row r="13" spans="1:16" ht="42" customHeight="1">
      <c r="A13" s="83" t="s">
        <v>9</v>
      </c>
      <c r="B13" s="83" t="s">
        <v>10</v>
      </c>
      <c r="C13" s="83" t="s">
        <v>11</v>
      </c>
      <c r="D13" s="83" t="s">
        <v>12</v>
      </c>
      <c r="E13" s="83" t="s">
        <v>13</v>
      </c>
      <c r="F13" s="83" t="s">
        <v>14</v>
      </c>
      <c r="G13" s="69" t="s">
        <v>15</v>
      </c>
      <c r="H13" s="70"/>
      <c r="I13" s="69" t="s">
        <v>16</v>
      </c>
      <c r="J13" s="70"/>
      <c r="K13" s="83" t="s">
        <v>17</v>
      </c>
      <c r="L13" s="83" t="s">
        <v>18</v>
      </c>
      <c r="M13" s="83" t="s">
        <v>19</v>
      </c>
      <c r="N13" s="83" t="s">
        <v>20</v>
      </c>
      <c r="O13" s="83" t="s">
        <v>21</v>
      </c>
      <c r="P13" s="83" t="s">
        <v>22</v>
      </c>
    </row>
    <row r="14" spans="1:16" ht="42" customHeight="1">
      <c r="A14" s="84"/>
      <c r="B14" s="84"/>
      <c r="C14" s="84"/>
      <c r="D14" s="84"/>
      <c r="E14" s="84"/>
      <c r="F14" s="84"/>
      <c r="G14" s="27" t="s">
        <v>23</v>
      </c>
      <c r="H14" s="27" t="s">
        <v>24</v>
      </c>
      <c r="I14" s="27" t="s">
        <v>23</v>
      </c>
      <c r="J14" s="27" t="s">
        <v>24</v>
      </c>
      <c r="K14" s="84"/>
      <c r="L14" s="84"/>
      <c r="M14" s="84"/>
      <c r="N14" s="84"/>
      <c r="O14" s="84"/>
      <c r="P14" s="84"/>
    </row>
    <row r="15" spans="1:16" ht="21.95" customHeight="1">
      <c r="A15" s="3">
        <v>1</v>
      </c>
      <c r="B15" s="2" t="s">
        <v>25</v>
      </c>
      <c r="C15" s="2" t="s">
        <v>26</v>
      </c>
      <c r="D15" s="2" t="s">
        <v>27</v>
      </c>
      <c r="E15" s="2" t="s">
        <v>28</v>
      </c>
      <c r="F15" s="2" t="s">
        <v>29</v>
      </c>
      <c r="G15" s="4">
        <v>1000</v>
      </c>
      <c r="H15" s="24">
        <v>5000</v>
      </c>
      <c r="I15" s="4">
        <v>2000</v>
      </c>
      <c r="J15" s="24">
        <v>7500</v>
      </c>
      <c r="K15" s="4">
        <v>10</v>
      </c>
      <c r="L15" s="4">
        <v>20</v>
      </c>
      <c r="M15" s="2" t="s">
        <v>30</v>
      </c>
      <c r="N15" s="2"/>
      <c r="O15" s="12">
        <f>IF(OR(D15="",E15=""),"",IFERROR(VLOOKUP(TRIM(D15)&amp;"|"&amp;TRIM(E15),'Doldurma Rehberi'!$J$2:$M$974,4,FALSE),"EŞLEŞMEDİ"))</f>
        <v>4</v>
      </c>
      <c r="P15" s="32">
        <f>IF(OR($C15="",$I15="",$J15="",$I15&lt;=0,$J15&lt;=0),"",$I15*$J15)</f>
        <v>15000000</v>
      </c>
    </row>
    <row r="16" spans="1:16" ht="21.95" customHeight="1">
      <c r="A16" s="3">
        <v>2</v>
      </c>
      <c r="B16" s="2" t="s">
        <v>25</v>
      </c>
      <c r="C16" s="2" t="s">
        <v>26</v>
      </c>
      <c r="D16" s="2" t="s">
        <v>27</v>
      </c>
      <c r="E16" s="2" t="s">
        <v>31</v>
      </c>
      <c r="F16" s="25" t="s">
        <v>29</v>
      </c>
      <c r="G16" s="4">
        <v>0</v>
      </c>
      <c r="H16" s="24">
        <v>2000</v>
      </c>
      <c r="I16" s="4">
        <v>1500</v>
      </c>
      <c r="J16" s="24">
        <v>6000</v>
      </c>
      <c r="K16" s="4">
        <v>0</v>
      </c>
      <c r="L16" s="4">
        <v>0</v>
      </c>
      <c r="M16" s="20" t="s">
        <v>30</v>
      </c>
      <c r="N16" s="2"/>
      <c r="O16" s="12">
        <f>IF(OR(D16="",E16=""),"",IFERROR(VLOOKUP(TRIM(D16)&amp;"|"&amp;TRIM(E16),'Doldurma Rehberi'!$J$2:$M$974,4,FALSE),"EŞLEŞMEDİ"))</f>
        <v>2</v>
      </c>
      <c r="P16" s="32">
        <f t="shared" ref="P16:P23" si="0">IF(OR($C16="",$I16="",$J16="",$I16&lt;=0,$J16&lt;=0),"",$I16*$J16)</f>
        <v>9000000</v>
      </c>
    </row>
    <row r="17" spans="1:16" ht="21.95" customHeight="1">
      <c r="A17" s="3">
        <v>3</v>
      </c>
      <c r="B17" s="2" t="s">
        <v>25</v>
      </c>
      <c r="C17" s="2" t="s">
        <v>32</v>
      </c>
      <c r="D17" s="2" t="s">
        <v>27</v>
      </c>
      <c r="E17" s="2" t="s">
        <v>33</v>
      </c>
      <c r="F17" s="25" t="s">
        <v>29</v>
      </c>
      <c r="G17" s="4">
        <v>200</v>
      </c>
      <c r="H17" s="24">
        <v>1010</v>
      </c>
      <c r="I17" s="4">
        <v>3000</v>
      </c>
      <c r="J17" s="24">
        <v>6000</v>
      </c>
      <c r="K17" s="4">
        <v>20</v>
      </c>
      <c r="L17" s="4">
        <v>30</v>
      </c>
      <c r="M17" s="20" t="s">
        <v>30</v>
      </c>
      <c r="N17" s="2"/>
      <c r="O17" s="12">
        <f>IF(OR(D17="",E17=""),"",IFERROR(VLOOKUP(TRIM(D17)&amp;"|"&amp;TRIM(E17),'Doldurma Rehberi'!$J$2:$M$974,4,FALSE),"EŞLEŞMEDİ"))</f>
        <v>5</v>
      </c>
      <c r="P17" s="32">
        <f t="shared" si="0"/>
        <v>18000000</v>
      </c>
    </row>
    <row r="18" spans="1:16" ht="21.95" customHeight="1">
      <c r="A18" s="3">
        <v>4</v>
      </c>
      <c r="B18" s="2" t="s">
        <v>25</v>
      </c>
      <c r="C18" s="2" t="s">
        <v>32</v>
      </c>
      <c r="D18" s="2" t="s">
        <v>34</v>
      </c>
      <c r="E18" s="2" t="s">
        <v>35</v>
      </c>
      <c r="F18" s="25" t="s">
        <v>29</v>
      </c>
      <c r="G18" s="4">
        <v>0</v>
      </c>
      <c r="H18" s="24">
        <v>1010</v>
      </c>
      <c r="I18" s="4">
        <v>4000</v>
      </c>
      <c r="J18" s="24">
        <v>6000</v>
      </c>
      <c r="K18" s="4">
        <v>0</v>
      </c>
      <c r="L18" s="4">
        <v>40</v>
      </c>
      <c r="M18" s="20" t="s">
        <v>30</v>
      </c>
      <c r="N18" s="2"/>
      <c r="O18" s="12">
        <f>IF(OR(D18="",E18=""),"",IFERROR(VLOOKUP(TRIM(D18)&amp;"|"&amp;TRIM(E18),'Doldurma Rehberi'!$J$2:$M$974,4,FALSE),"EŞLEŞMEDİ"))</f>
        <v>3</v>
      </c>
      <c r="P18" s="32">
        <f t="shared" si="0"/>
        <v>24000000</v>
      </c>
    </row>
    <row r="19" spans="1:16" ht="21.95" customHeight="1">
      <c r="A19" s="3">
        <v>5</v>
      </c>
      <c r="B19" s="2" t="s">
        <v>36</v>
      </c>
      <c r="C19" s="2" t="s">
        <v>26</v>
      </c>
      <c r="D19" s="2" t="s">
        <v>27</v>
      </c>
      <c r="E19" s="2" t="s">
        <v>28</v>
      </c>
      <c r="F19" s="25" t="s">
        <v>29</v>
      </c>
      <c r="G19" s="4">
        <v>3000</v>
      </c>
      <c r="H19" s="24">
        <v>1010</v>
      </c>
      <c r="I19" s="4">
        <v>6000</v>
      </c>
      <c r="J19" s="24">
        <v>6000</v>
      </c>
      <c r="K19" s="4">
        <v>30</v>
      </c>
      <c r="L19" s="4">
        <v>60</v>
      </c>
      <c r="M19" s="20" t="s">
        <v>30</v>
      </c>
      <c r="N19" s="2"/>
      <c r="O19" s="12">
        <f>IF(OR(D19="",E19=""),"",IFERROR(VLOOKUP(TRIM(D19)&amp;"|"&amp;TRIM(E19),'Doldurma Rehberi'!$J$2:$M$974,4,FALSE),"EŞLEŞMEDİ"))</f>
        <v>4</v>
      </c>
      <c r="P19" s="32">
        <f t="shared" si="0"/>
        <v>36000000</v>
      </c>
    </row>
    <row r="20" spans="1:16" ht="21.95" customHeight="1">
      <c r="A20" s="3">
        <v>6</v>
      </c>
      <c r="B20" s="2" t="s">
        <v>36</v>
      </c>
      <c r="C20" s="2" t="s">
        <v>26</v>
      </c>
      <c r="D20" s="2" t="s">
        <v>27</v>
      </c>
      <c r="E20" s="2" t="s">
        <v>31</v>
      </c>
      <c r="F20" s="25" t="s">
        <v>29</v>
      </c>
      <c r="G20" s="4">
        <v>5000</v>
      </c>
      <c r="H20" s="24">
        <v>1010</v>
      </c>
      <c r="I20" s="4">
        <v>10000</v>
      </c>
      <c r="J20" s="24">
        <v>6000</v>
      </c>
      <c r="K20" s="4">
        <v>0</v>
      </c>
      <c r="L20" s="4">
        <v>15</v>
      </c>
      <c r="M20" s="20" t="s">
        <v>30</v>
      </c>
      <c r="N20" s="2"/>
      <c r="O20" s="12">
        <f>IF(OR(D20="",E20=""),"",IFERROR(VLOOKUP(TRIM(D20)&amp;"|"&amp;TRIM(E20),'Doldurma Rehberi'!$J$2:$M$974,4,FALSE),"EŞLEŞMEDİ"))</f>
        <v>2</v>
      </c>
      <c r="P20" s="32">
        <f t="shared" si="0"/>
        <v>60000000</v>
      </c>
    </row>
    <row r="21" spans="1:16" ht="21.95" customHeight="1">
      <c r="A21" s="3">
        <v>7</v>
      </c>
      <c r="B21" s="2" t="s">
        <v>36</v>
      </c>
      <c r="C21" s="2" t="s">
        <v>37</v>
      </c>
      <c r="D21" s="2" t="s">
        <v>27</v>
      </c>
      <c r="E21" s="2" t="s">
        <v>33</v>
      </c>
      <c r="F21" s="25" t="s">
        <v>29</v>
      </c>
      <c r="G21" s="4">
        <v>200</v>
      </c>
      <c r="H21" s="24">
        <v>1010</v>
      </c>
      <c r="I21" s="4">
        <v>300</v>
      </c>
      <c r="J21" s="24">
        <v>6000</v>
      </c>
      <c r="K21" s="4">
        <v>20</v>
      </c>
      <c r="L21" s="4">
        <v>30</v>
      </c>
      <c r="M21" s="20" t="s">
        <v>38</v>
      </c>
      <c r="N21" s="2"/>
      <c r="O21" s="12">
        <f>IF(OR(D21="",E21=""),"",IFERROR(VLOOKUP(TRIM(D21)&amp;"|"&amp;TRIM(E21),'Doldurma Rehberi'!$J$2:$M$974,4,FALSE),"EŞLEŞMEDİ"))</f>
        <v>5</v>
      </c>
      <c r="P21" s="32">
        <f t="shared" si="0"/>
        <v>1800000</v>
      </c>
    </row>
    <row r="22" spans="1:16" ht="21.95" customHeight="1">
      <c r="A22" s="3">
        <v>8</v>
      </c>
      <c r="B22" s="2" t="s">
        <v>36</v>
      </c>
      <c r="C22" s="2" t="s">
        <v>37</v>
      </c>
      <c r="D22" s="2" t="s">
        <v>34</v>
      </c>
      <c r="E22" s="2" t="s">
        <v>35</v>
      </c>
      <c r="F22" s="25" t="s">
        <v>29</v>
      </c>
      <c r="G22" s="4">
        <v>0</v>
      </c>
      <c r="H22" s="24">
        <v>1010</v>
      </c>
      <c r="I22" s="4">
        <v>400</v>
      </c>
      <c r="J22" s="24">
        <v>6000</v>
      </c>
      <c r="K22" s="4">
        <v>0</v>
      </c>
      <c r="L22" s="4">
        <v>40</v>
      </c>
      <c r="M22" s="20" t="s">
        <v>38</v>
      </c>
      <c r="N22" s="2"/>
      <c r="O22" s="12">
        <f>IF(OR(D22="",E22=""),"",IFERROR(VLOOKUP(TRIM(D22)&amp;"|"&amp;TRIM(E22),'Doldurma Rehberi'!$J$2:$M$974,4,FALSE),"EŞLEŞMEDİ"))</f>
        <v>3</v>
      </c>
      <c r="P22" s="32">
        <f t="shared" si="0"/>
        <v>2400000</v>
      </c>
    </row>
    <row r="23" spans="1:16" ht="21.95" customHeight="1">
      <c r="A23" s="3">
        <v>9</v>
      </c>
      <c r="B23" s="2" t="s">
        <v>39</v>
      </c>
      <c r="C23" s="2" t="s">
        <v>40</v>
      </c>
      <c r="D23" s="2" t="s">
        <v>41</v>
      </c>
      <c r="E23" s="2" t="s">
        <v>42</v>
      </c>
      <c r="F23" s="25" t="s">
        <v>29</v>
      </c>
      <c r="G23" s="4">
        <v>150</v>
      </c>
      <c r="H23" s="24">
        <v>1010</v>
      </c>
      <c r="I23" s="4">
        <v>300</v>
      </c>
      <c r="J23" s="24">
        <v>6000</v>
      </c>
      <c r="K23" s="4">
        <v>20</v>
      </c>
      <c r="L23" s="4">
        <v>30</v>
      </c>
      <c r="M23" s="20" t="s">
        <v>30</v>
      </c>
      <c r="N23" s="2"/>
      <c r="O23" s="12">
        <f>IF(OR(D23="",E23=""),"",IFERROR(VLOOKUP(TRIM(D23)&amp;"|"&amp;TRIM(E23),'Doldurma Rehberi'!$J$2:$M$974,4,FALSE),"EŞLEŞMEDİ"))</f>
        <v>2</v>
      </c>
      <c r="P23" s="32">
        <f t="shared" si="0"/>
        <v>1800000</v>
      </c>
    </row>
    <row r="24" spans="1:16" ht="21.95" customHeight="1">
      <c r="A24" s="3">
        <v>10</v>
      </c>
      <c r="B24" s="2"/>
      <c r="C24" s="2"/>
      <c r="D24" s="2"/>
      <c r="E24" s="2"/>
      <c r="F24" s="25" t="s">
        <v>29</v>
      </c>
      <c r="G24" s="4"/>
      <c r="H24" s="24"/>
      <c r="I24" s="4"/>
      <c r="J24" s="24"/>
      <c r="K24" s="4"/>
      <c r="L24" s="4"/>
      <c r="M24" s="20" t="s">
        <v>30</v>
      </c>
      <c r="N24" s="2"/>
      <c r="O24" s="12" t="str">
        <f>IF(OR(D24="",E24=""),"",IFERROR(VLOOKUP(TRIM(D24)&amp;"|"&amp;TRIM(E24),'Doldurma Rehberi'!$J$2:$M$974,4,FALSE),"EŞLEŞMEDİ"))</f>
        <v/>
      </c>
      <c r="P24" s="32" t="str">
        <f t="shared" ref="P24:P29" si="1">IF(OR($C24="",$I24="",$J24="",$I24&lt;=0,$J24&lt;=0),"",$I24*$J24)</f>
        <v/>
      </c>
    </row>
    <row r="25" spans="1:16" ht="21.95" customHeight="1">
      <c r="A25" s="3">
        <v>11</v>
      </c>
      <c r="B25" s="2"/>
      <c r="C25" s="2"/>
      <c r="D25" s="2"/>
      <c r="E25" s="2"/>
      <c r="F25" s="25" t="s">
        <v>29</v>
      </c>
      <c r="G25" s="4"/>
      <c r="H25" s="24"/>
      <c r="I25" s="4"/>
      <c r="J25" s="24"/>
      <c r="K25" s="4"/>
      <c r="L25" s="4"/>
      <c r="M25" s="20" t="s">
        <v>30</v>
      </c>
      <c r="N25" s="2"/>
      <c r="O25" s="12" t="str">
        <f>IF(OR(D25="",E25=""),"",IFERROR(VLOOKUP(TRIM(D25)&amp;"|"&amp;TRIM(E25),'Doldurma Rehberi'!$J$2:$M$974,4,FALSE),"EŞLEŞMEDİ"))</f>
        <v/>
      </c>
      <c r="P25" s="32" t="str">
        <f t="shared" si="1"/>
        <v/>
      </c>
    </row>
    <row r="26" spans="1:16" ht="21.95" customHeight="1">
      <c r="A26" s="3">
        <v>12</v>
      </c>
      <c r="B26" s="2"/>
      <c r="C26" s="2"/>
      <c r="D26" s="2"/>
      <c r="E26" s="2"/>
      <c r="F26" s="25" t="s">
        <v>29</v>
      </c>
      <c r="G26" s="4"/>
      <c r="H26" s="24"/>
      <c r="I26" s="4"/>
      <c r="J26" s="24"/>
      <c r="K26" s="4"/>
      <c r="L26" s="4"/>
      <c r="M26" s="20" t="s">
        <v>30</v>
      </c>
      <c r="N26" s="2"/>
      <c r="O26" s="12" t="str">
        <f>IF(OR(D26="",E26=""),"",IFERROR(VLOOKUP(TRIM(D26)&amp;"|"&amp;TRIM(E26),'Doldurma Rehberi'!$J$2:$M$974,4,FALSE),"EŞLEŞMEDİ"))</f>
        <v/>
      </c>
      <c r="P26" s="32" t="str">
        <f t="shared" si="1"/>
        <v/>
      </c>
    </row>
    <row r="27" spans="1:16" ht="21.95" customHeight="1">
      <c r="A27" s="3">
        <v>13</v>
      </c>
      <c r="B27" s="2"/>
      <c r="C27" s="2"/>
      <c r="D27" s="2"/>
      <c r="E27" s="2"/>
      <c r="F27" s="25" t="s">
        <v>29</v>
      </c>
      <c r="G27" s="4"/>
      <c r="H27" s="24"/>
      <c r="I27" s="4"/>
      <c r="J27" s="24"/>
      <c r="K27" s="4"/>
      <c r="L27" s="4"/>
      <c r="M27" s="20" t="s">
        <v>30</v>
      </c>
      <c r="N27" s="2"/>
      <c r="O27" s="12" t="str">
        <f>IF(OR(D27="",E27=""),"",IFERROR(VLOOKUP(TRIM(D27)&amp;"|"&amp;TRIM(E27),'Doldurma Rehberi'!$J$2:$M$974,4,FALSE),"EŞLEŞMEDİ"))</f>
        <v/>
      </c>
      <c r="P27" s="32" t="str">
        <f t="shared" si="1"/>
        <v/>
      </c>
    </row>
    <row r="28" spans="1:16" ht="21.95" customHeight="1">
      <c r="A28" s="3">
        <v>14</v>
      </c>
      <c r="B28" s="2"/>
      <c r="C28" s="2"/>
      <c r="D28" s="2"/>
      <c r="E28" s="2"/>
      <c r="F28" s="25" t="s">
        <v>29</v>
      </c>
      <c r="G28" s="4"/>
      <c r="H28" s="24"/>
      <c r="I28" s="4"/>
      <c r="J28" s="24"/>
      <c r="K28" s="4"/>
      <c r="L28" s="4"/>
      <c r="M28" s="20" t="s">
        <v>30</v>
      </c>
      <c r="N28" s="2"/>
      <c r="O28" s="12" t="str">
        <f>IF(OR(D28="",E28=""),"",IFERROR(VLOOKUP(TRIM(D28)&amp;"|"&amp;TRIM(E28),'Doldurma Rehberi'!$J$2:$M$974,4,FALSE),"EŞLEŞMEDİ"))</f>
        <v/>
      </c>
      <c r="P28" s="32" t="str">
        <f t="shared" si="1"/>
        <v/>
      </c>
    </row>
    <row r="29" spans="1:16" ht="21.95" customHeight="1">
      <c r="A29" s="3">
        <v>15</v>
      </c>
      <c r="B29" s="2"/>
      <c r="C29" s="2"/>
      <c r="D29" s="2"/>
      <c r="E29" s="2"/>
      <c r="F29" s="25" t="s">
        <v>29</v>
      </c>
      <c r="G29" s="4"/>
      <c r="H29" s="24"/>
      <c r="I29" s="4"/>
      <c r="J29" s="24"/>
      <c r="K29" s="4"/>
      <c r="L29" s="4"/>
      <c r="M29" s="20" t="s">
        <v>30</v>
      </c>
      <c r="N29" s="2"/>
      <c r="O29" s="12" t="str">
        <f>IF(OR(D29="",E29=""),"",IFERROR(VLOOKUP(TRIM(D29)&amp;"|"&amp;TRIM(E29),'Doldurma Rehberi'!$J$2:$M$974,4,FALSE),"EŞLEŞMEDİ"))</f>
        <v/>
      </c>
      <c r="P29" s="32" t="str">
        <f t="shared" si="1"/>
        <v/>
      </c>
    </row>
    <row r="30" spans="1:16" ht="21.95" customHeight="1">
      <c r="A30" s="7"/>
      <c r="B30" s="8"/>
      <c r="C30" s="8"/>
      <c r="D30" s="8"/>
      <c r="E30" s="8"/>
      <c r="F30" s="8"/>
      <c r="G30" s="9"/>
      <c r="H30" s="9"/>
      <c r="I30" s="9"/>
      <c r="J30" s="9"/>
      <c r="K30" s="9"/>
      <c r="L30" s="9"/>
      <c r="M30" s="8"/>
      <c r="N30" s="8"/>
      <c r="O30" s="13"/>
    </row>
    <row r="31" spans="1:16">
      <c r="A31" s="13"/>
      <c r="B31" s="13"/>
      <c r="C31" s="13"/>
      <c r="D31" s="13"/>
      <c r="E31" s="13"/>
      <c r="F31" s="13"/>
      <c r="G31" s="13"/>
      <c r="H31" s="21"/>
      <c r="I31" s="13"/>
      <c r="J31" s="21"/>
      <c r="K31" s="13"/>
      <c r="L31" s="13"/>
      <c r="M31" s="13"/>
      <c r="N31" s="13"/>
      <c r="O31" s="13"/>
    </row>
    <row r="32" spans="1:16">
      <c r="A32" s="64" t="s">
        <v>43</v>
      </c>
      <c r="B32" s="64"/>
      <c r="C32" s="64"/>
      <c r="D32" s="64"/>
      <c r="E32" s="64"/>
      <c r="F32" s="64"/>
      <c r="G32" s="64"/>
      <c r="H32" s="64"/>
      <c r="I32" s="64"/>
      <c r="J32" s="64"/>
      <c r="K32" s="64"/>
      <c r="L32" s="64"/>
      <c r="M32" s="64"/>
      <c r="N32" s="64"/>
      <c r="O32" s="60"/>
    </row>
    <row r="33" spans="1:15" ht="24.95" customHeight="1">
      <c r="A33" s="65"/>
      <c r="B33" s="65"/>
      <c r="C33" s="65"/>
      <c r="D33" s="65"/>
      <c r="E33" s="65"/>
      <c r="F33" s="65"/>
      <c r="G33" s="65"/>
      <c r="H33" s="65"/>
      <c r="I33" s="65"/>
      <c r="J33" s="65"/>
      <c r="K33" s="65"/>
      <c r="L33" s="65"/>
      <c r="M33" s="65"/>
      <c r="N33" s="65"/>
      <c r="O33" s="60"/>
    </row>
    <row r="34" spans="1:15" ht="24.95" customHeight="1">
      <c r="A34" s="65"/>
      <c r="B34" s="65"/>
      <c r="C34" s="65"/>
      <c r="D34" s="65"/>
      <c r="E34" s="65"/>
      <c r="F34" s="65"/>
      <c r="G34" s="65"/>
      <c r="H34" s="65"/>
      <c r="I34" s="65"/>
      <c r="J34" s="65"/>
      <c r="K34" s="65"/>
      <c r="L34" s="65"/>
      <c r="M34" s="65"/>
      <c r="N34" s="65"/>
      <c r="O34" s="60"/>
    </row>
    <row r="35" spans="1:15" ht="24.95" customHeight="1">
      <c r="A35" s="65"/>
      <c r="B35" s="65"/>
      <c r="C35" s="65"/>
      <c r="D35" s="65"/>
      <c r="E35" s="65"/>
      <c r="F35" s="65"/>
      <c r="G35" s="65"/>
      <c r="H35" s="65"/>
      <c r="I35" s="65"/>
      <c r="J35" s="65"/>
      <c r="K35" s="65"/>
      <c r="L35" s="65"/>
      <c r="M35" s="65"/>
      <c r="N35" s="65"/>
      <c r="O35" s="60"/>
    </row>
    <row r="36" spans="1:15">
      <c r="A36" s="66" t="s">
        <v>44</v>
      </c>
      <c r="B36" s="66"/>
      <c r="C36" s="66"/>
      <c r="D36" s="66"/>
      <c r="E36" s="66"/>
      <c r="F36" s="66"/>
      <c r="G36" s="66"/>
      <c r="H36" s="66"/>
      <c r="I36" s="66"/>
      <c r="J36" s="66"/>
      <c r="K36" s="66"/>
      <c r="L36" s="66"/>
      <c r="M36" s="66"/>
      <c r="N36" s="66"/>
      <c r="O36" s="60"/>
    </row>
    <row r="37" spans="1:15">
      <c r="A37" s="13"/>
      <c r="B37" s="13"/>
      <c r="C37" s="13"/>
      <c r="D37" s="13"/>
      <c r="E37" s="13"/>
      <c r="F37" s="13"/>
      <c r="G37" s="13"/>
      <c r="H37" s="21"/>
      <c r="I37" s="13"/>
      <c r="J37" s="21"/>
      <c r="K37" s="13"/>
      <c r="L37" s="13"/>
      <c r="M37" s="13"/>
      <c r="N37" s="13"/>
      <c r="O37" s="13"/>
    </row>
    <row r="38" spans="1:15">
      <c r="A38" s="64" t="s">
        <v>45</v>
      </c>
      <c r="B38" s="64"/>
      <c r="C38" s="64"/>
      <c r="D38" s="64"/>
      <c r="E38" s="64"/>
      <c r="F38" s="64"/>
      <c r="G38" s="64"/>
      <c r="H38" s="64"/>
      <c r="I38" s="64"/>
      <c r="J38" s="64"/>
      <c r="K38" s="64"/>
      <c r="L38" s="64"/>
      <c r="M38" s="64"/>
      <c r="N38" s="64"/>
      <c r="O38" s="60"/>
    </row>
    <row r="39" spans="1:15">
      <c r="A39" s="67" t="s">
        <v>46</v>
      </c>
      <c r="B39" s="67"/>
      <c r="C39" s="67"/>
      <c r="D39" s="67"/>
      <c r="E39" s="67"/>
      <c r="F39" s="67"/>
      <c r="G39" s="67"/>
      <c r="H39" s="67"/>
      <c r="I39" s="67"/>
      <c r="J39" s="67"/>
      <c r="K39" s="67"/>
      <c r="L39" s="67"/>
      <c r="M39" s="67"/>
      <c r="N39" s="67"/>
      <c r="O39" s="60"/>
    </row>
    <row r="40" spans="1:15" ht="24">
      <c r="A40" s="1" t="s">
        <v>47</v>
      </c>
      <c r="B40" s="59"/>
      <c r="C40" s="59"/>
      <c r="D40" s="59"/>
      <c r="E40" s="1" t="s">
        <v>48</v>
      </c>
      <c r="F40" s="59"/>
      <c r="G40" s="59"/>
      <c r="H40" s="59"/>
      <c r="I40" s="59"/>
      <c r="J40" s="22"/>
      <c r="K40" s="1" t="s">
        <v>49</v>
      </c>
      <c r="L40" s="59"/>
      <c r="M40" s="59"/>
      <c r="N40" s="59"/>
      <c r="O40" s="60"/>
    </row>
  </sheetData>
  <mergeCells count="46">
    <mergeCell ref="B13:B14"/>
    <mergeCell ref="A13:A14"/>
    <mergeCell ref="A9:A10"/>
    <mergeCell ref="B9:B10"/>
    <mergeCell ref="C9:C10"/>
    <mergeCell ref="P13:P14"/>
    <mergeCell ref="F13:F14"/>
    <mergeCell ref="E13:E14"/>
    <mergeCell ref="D13:D14"/>
    <mergeCell ref="C13:C14"/>
    <mergeCell ref="K13:K14"/>
    <mergeCell ref="L13:L14"/>
    <mergeCell ref="M13:M14"/>
    <mergeCell ref="N13:N14"/>
    <mergeCell ref="O13:O14"/>
    <mergeCell ref="A1:O1"/>
    <mergeCell ref="A2:O2"/>
    <mergeCell ref="A4:O4"/>
    <mergeCell ref="A8:O8"/>
    <mergeCell ref="A11:O11"/>
    <mergeCell ref="L6:O6"/>
    <mergeCell ref="J9:K9"/>
    <mergeCell ref="J10:K10"/>
    <mergeCell ref="M9:N9"/>
    <mergeCell ref="M10:N10"/>
    <mergeCell ref="D9:D10"/>
    <mergeCell ref="E9:E10"/>
    <mergeCell ref="F9:F10"/>
    <mergeCell ref="G9:G10"/>
    <mergeCell ref="H9:H10"/>
    <mergeCell ref="L40:O40"/>
    <mergeCell ref="B5:D5"/>
    <mergeCell ref="F5:I5"/>
    <mergeCell ref="B6:D6"/>
    <mergeCell ref="F6:I6"/>
    <mergeCell ref="B40:D40"/>
    <mergeCell ref="F40:I40"/>
    <mergeCell ref="A12:O12"/>
    <mergeCell ref="A32:O32"/>
    <mergeCell ref="A33:O35"/>
    <mergeCell ref="A36:O36"/>
    <mergeCell ref="A38:O38"/>
    <mergeCell ref="A39:O39"/>
    <mergeCell ref="L5:O5"/>
    <mergeCell ref="I13:J13"/>
    <mergeCell ref="G13:H13"/>
  </mergeCells>
  <conditionalFormatting sqref="O15:O29">
    <cfRule type="cellIs" dxfId="3" priority="1" operator="between">
      <formula>4</formula>
      <formula>6</formula>
    </cfRule>
    <cfRule type="cellIs" dxfId="2" priority="2" operator="between">
      <formula>1</formula>
      <formula>3</formula>
    </cfRule>
    <cfRule type="containsText" dxfId="1" priority="3" operator="containsText" text="EŞLEŞMEDİ"/>
  </conditionalFormatting>
  <dataValidations count="4">
    <dataValidation type="list" sqref="F30" xr:uid="{00000000-0002-0000-0000-000000000000}">
      <formula1>"kg,ton,litre,adet,m³,diğer"</formula1>
    </dataValidation>
    <dataValidation type="list" sqref="M30" xr:uid="{00000000-0002-0000-0000-000001000000}">
      <formula1>"Doğrudan çiftçi,Kooperatif / üretici örgütü,Sözleşmeli tedarik,Niyet / protokol,Diğer"</formula1>
    </dataValidation>
    <dataValidation type="list" sqref="M15:M29" xr:uid="{00000000-0002-0000-0000-000003000000}">
      <formula1>"Sözleşmeli tedarik,Niyet / protokol"</formula1>
    </dataValidation>
    <dataValidation type="list" sqref="F15:F29" xr:uid="{7CE445BA-08D8-4CC8-AB78-4D28AA42B7E3}">
      <formula1>"ton, litre, m3, adet, baş"</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activeCell="C16" sqref="C16"/>
    </sheetView>
  </sheetViews>
  <sheetFormatPr defaultColWidth="9" defaultRowHeight="15"/>
  <cols>
    <col min="1" max="1" width="18" customWidth="1"/>
    <col min="2" max="2" width="22" customWidth="1"/>
    <col min="3" max="3" width="24" customWidth="1"/>
    <col min="4" max="4" width="22" customWidth="1"/>
    <col min="5" max="5" width="24" customWidth="1"/>
    <col min="6" max="6" width="16" customWidth="1"/>
    <col min="7" max="16384" width="9" style="23"/>
  </cols>
  <sheetData>
    <row r="1" spans="1:6" ht="15" customHeight="1">
      <c r="A1" s="87" t="s">
        <v>2106</v>
      </c>
      <c r="B1" s="87"/>
      <c r="C1" s="87"/>
      <c r="D1" s="87"/>
      <c r="E1" s="87"/>
      <c r="F1" s="87"/>
    </row>
    <row r="2" spans="1:6" s="54" customFormat="1" ht="33.75" customHeight="1">
      <c r="A2" s="53" t="s">
        <v>2107</v>
      </c>
      <c r="B2" s="53" t="s">
        <v>2128</v>
      </c>
      <c r="C2" s="53" t="s">
        <v>2129</v>
      </c>
      <c r="D2" s="53" t="s">
        <v>2132</v>
      </c>
      <c r="E2" s="53" t="s">
        <v>2131</v>
      </c>
      <c r="F2" s="53" t="s">
        <v>17</v>
      </c>
    </row>
    <row r="3" spans="1:6" ht="15" customHeight="1">
      <c r="A3" s="34" t="str" cm="1">
        <f t="array" ref="A3">IFERROR(INDEX(_xlfn._xlws.SORT(_xlfn.UNIQUE(_xlfn._xlws.FILTER('Başvuru Formu'!$C$15:$C$29,'Başvuru Formu'!$C$15:$C$29&lt;&gt;""))),ROWS($A$3:A3)),"")</f>
        <v>Fındık</v>
      </c>
      <c r="B3" s="35">
        <f>IF(A3="","",IF(COUNTIF('Başvuru Formu'!$C$15:$C$29,A3)&lt;&gt;COUNTIFS('Başvuru Formu'!$C$15:$C$29,A3,'Başvuru Formu'!$P$15:$P$29,"&gt;0"),"",SUMIF('Başvuru Formu'!$C$15:$C$29,A3,'Başvuru Formu'!$P$15:$P$29)))</f>
        <v>1800000</v>
      </c>
      <c r="C3" s="36">
        <f>IF(OR(A3="",B3=""),"",SUMIFS('Başvuru Formu'!$P$15:$P$29,'Başvuru Formu'!$C$15:$C$29,A3,'Başvuru Formu'!$O$15:$O$29,"&gt;=4",'Başvuru Formu'!$O$15:$O$29,"&lt;=6"))</f>
        <v>0</v>
      </c>
      <c r="D3" s="48">
        <f t="shared" ref="D3:D17" si="0">IF(OR(A3="",B3="",B3=0),"",C3/B3)</f>
        <v>0</v>
      </c>
      <c r="E3" s="48">
        <f t="shared" ref="E3:E17" si="1">IF(OR(A3="",B3="",$B$19="",$B$19=0),"",B3/$B$19)</f>
        <v>1.0714285714285714E-2</v>
      </c>
      <c r="F3" s="37">
        <f>IF(A3="","",SUMIF('Başvuru Formu'!$C$15:$C$29,A3,'Başvuru Formu'!$K$15:$K$29))</f>
        <v>20</v>
      </c>
    </row>
    <row r="4" spans="1:6" ht="15" customHeight="1">
      <c r="A4" s="34" t="str">
        <f>IFERROR(INDEX(_xlfn._xlws.SORT(_xlfn.UNIQUE(_xlfn._xlws.FILTER('Başvuru Formu'!$C$15:$C$29,'Başvuru Formu'!$C$15:$C$29&lt;&gt;""))),ROWS($A$3:A4)),"")</f>
        <v>Kayısı</v>
      </c>
      <c r="B4" s="35">
        <f>IF(A4="","",IF(COUNTIF('Başvuru Formu'!$C$15:$C$29,A4)&lt;&gt;COUNTIFS('Başvuru Formu'!$C$15:$C$29,A4,'Başvuru Formu'!$P$15:$P$29,"&gt;0"),"",SUMIF('Başvuru Formu'!$C$15:$C$29,A4,'Başvuru Formu'!$P$15:$P$29)))</f>
        <v>4200000</v>
      </c>
      <c r="C4" s="36">
        <f>IF(OR(A4="",B4=""),"",SUMIFS('Başvuru Formu'!$P$15:$P$29,'Başvuru Formu'!$C$15:$C$29,A4,'Başvuru Formu'!$O$15:$O$29,"&gt;=4",'Başvuru Formu'!$O$15:$O$29,"&lt;=6"))</f>
        <v>1800000</v>
      </c>
      <c r="D4" s="48">
        <f t="shared" si="0"/>
        <v>0.42857142857142855</v>
      </c>
      <c r="E4" s="48">
        <f t="shared" si="1"/>
        <v>2.5000000000000001E-2</v>
      </c>
      <c r="F4" s="37">
        <f>IF(A4="","",SUMIF('Başvuru Formu'!$C$15:$C$29,A4,'Başvuru Formu'!$K$15:$K$29))</f>
        <v>20</v>
      </c>
    </row>
    <row r="5" spans="1:6" ht="15" customHeight="1">
      <c r="A5" s="34" t="str">
        <f>IFERROR(INDEX(_xlfn._xlws.SORT(_xlfn.UNIQUE(_xlfn._xlws.FILTER('Başvuru Formu'!$C$15:$C$29,'Başvuru Formu'!$C$15:$C$29&lt;&gt;""))),ROWS($A$3:A5)),"")</f>
        <v>Süt</v>
      </c>
      <c r="B5" s="35">
        <f>IF(A5="","",IF(COUNTIF('Başvuru Formu'!$C$15:$C$29,A5)&lt;&gt;COUNTIFS('Başvuru Formu'!$C$15:$C$29,A5,'Başvuru Formu'!$P$15:$P$29,"&gt;0"),"",SUMIF('Başvuru Formu'!$C$15:$C$29,A5,'Başvuru Formu'!$P$15:$P$29)))</f>
        <v>120000000</v>
      </c>
      <c r="C5" s="36">
        <f>IF(OR(A5="",B5=""),"",SUMIFS('Başvuru Formu'!$P$15:$P$29,'Başvuru Formu'!$C$15:$C$29,A5,'Başvuru Formu'!$O$15:$O$29,"&gt;=4",'Başvuru Formu'!$O$15:$O$29,"&lt;=6"))</f>
        <v>51000000</v>
      </c>
      <c r="D5" s="48">
        <f t="shared" si="0"/>
        <v>0.42499999999999999</v>
      </c>
      <c r="E5" s="48">
        <f t="shared" si="1"/>
        <v>0.7142857142857143</v>
      </c>
      <c r="F5" s="37">
        <f>IF(A5="","",SUMIF('Başvuru Formu'!$C$15:$C$29,A5,'Başvuru Formu'!$K$15:$K$29))</f>
        <v>40</v>
      </c>
    </row>
    <row r="6" spans="1:6" ht="15" customHeight="1">
      <c r="A6" s="34" t="str">
        <f>IFERROR(INDEX(_xlfn._xlws.SORT(_xlfn.UNIQUE(_xlfn._xlws.FILTER('Başvuru Formu'!$C$15:$C$29,'Başvuru Formu'!$C$15:$C$29&lt;&gt;""))),ROWS($A$3:A6)),"")</f>
        <v>Vişne</v>
      </c>
      <c r="B6" s="35">
        <f>IF(A6="","",IF(COUNTIF('Başvuru Formu'!$C$15:$C$29,A6)&lt;&gt;COUNTIFS('Başvuru Formu'!$C$15:$C$29,A6,'Başvuru Formu'!$P$15:$P$29,"&gt;0"),"",SUMIF('Başvuru Formu'!$C$15:$C$29,A6,'Başvuru Formu'!$P$15:$P$29)))</f>
        <v>42000000</v>
      </c>
      <c r="C6" s="36">
        <f>IF(OR(A6="",B6=""),"",SUMIFS('Başvuru Formu'!$P$15:$P$29,'Başvuru Formu'!$C$15:$C$29,A6,'Başvuru Formu'!$O$15:$O$29,"&gt;=4",'Başvuru Formu'!$O$15:$O$29,"&lt;=6"))</f>
        <v>18000000</v>
      </c>
      <c r="D6" s="48">
        <f t="shared" si="0"/>
        <v>0.42857142857142855</v>
      </c>
      <c r="E6" s="48">
        <f t="shared" si="1"/>
        <v>0.25</v>
      </c>
      <c r="F6" s="37">
        <f>IF(A6="","",SUMIF('Başvuru Formu'!$C$15:$C$29,A6,'Başvuru Formu'!$K$15:$K$29))</f>
        <v>20</v>
      </c>
    </row>
    <row r="7" spans="1:6" ht="15" customHeight="1">
      <c r="A7" s="34" t="str">
        <f>IFERROR(INDEX(_xlfn._xlws.SORT(_xlfn.UNIQUE(_xlfn._xlws.FILTER('Başvuru Formu'!$C$15:$C$29,'Başvuru Formu'!$C$15:$C$29&lt;&gt;""))),ROWS($A$3:A7)),"")</f>
        <v/>
      </c>
      <c r="B7" s="35" t="str">
        <f>IF(A7="","",IF(COUNTIF('Başvuru Formu'!$C$15:$C$29,A7)&lt;&gt;COUNTIFS('Başvuru Formu'!$C$15:$C$29,A7,'Başvuru Formu'!$P$15:$P$29,"&gt;0"),"",SUMIF('Başvuru Formu'!$C$15:$C$29,A7,'Başvuru Formu'!$P$15:$P$29)))</f>
        <v/>
      </c>
      <c r="C7" s="36" t="str">
        <f>IF(OR(A7="",B7=""),"",SUMIFS('Başvuru Formu'!$P$15:$P$29,'Başvuru Formu'!$C$15:$C$29,A7,'Başvuru Formu'!$O$15:$O$29,"&gt;=4",'Başvuru Formu'!$O$15:$O$29,"&lt;=6"))</f>
        <v/>
      </c>
      <c r="D7" s="48" t="str">
        <f t="shared" si="0"/>
        <v/>
      </c>
      <c r="E7" s="48" t="str">
        <f t="shared" si="1"/>
        <v/>
      </c>
      <c r="F7" s="37" t="str">
        <f>IF(A7="","",SUMIF('Başvuru Formu'!$C$15:$C$29,A7,'Başvuru Formu'!$K$15:$K$29))</f>
        <v/>
      </c>
    </row>
    <row r="8" spans="1:6" ht="15" customHeight="1">
      <c r="A8" s="34" t="str">
        <f>IFERROR(INDEX(_xlfn._xlws.SORT(_xlfn.UNIQUE(_xlfn._xlws.FILTER('Başvuru Formu'!$C$15:$C$29,'Başvuru Formu'!$C$15:$C$29&lt;&gt;""))),ROWS($A$3:A8)),"")</f>
        <v/>
      </c>
      <c r="B8" s="35" t="str">
        <f>IF(A8="","",IF(COUNTIF('Başvuru Formu'!$C$15:$C$29,A8)&lt;&gt;COUNTIFS('Başvuru Formu'!$C$15:$C$29,A8,'Başvuru Formu'!$P$15:$P$29,"&gt;0"),"",SUMIF('Başvuru Formu'!$C$15:$C$29,A8,'Başvuru Formu'!$P$15:$P$29)))</f>
        <v/>
      </c>
      <c r="C8" s="36" t="str">
        <f>IF(OR(A8="",B8=""),"",SUMIFS('Başvuru Formu'!$P$15:$P$29,'Başvuru Formu'!$C$15:$C$29,A8,'Başvuru Formu'!$O$15:$O$29,"&gt;=4",'Başvuru Formu'!$O$15:$O$29,"&lt;=6"))</f>
        <v/>
      </c>
      <c r="D8" s="48" t="str">
        <f t="shared" si="0"/>
        <v/>
      </c>
      <c r="E8" s="48" t="str">
        <f t="shared" si="1"/>
        <v/>
      </c>
      <c r="F8" s="37" t="str">
        <f>IF(A8="","",SUMIF('Başvuru Formu'!$C$15:$C$29,A8,'Başvuru Formu'!$K$15:$K$29))</f>
        <v/>
      </c>
    </row>
    <row r="9" spans="1:6" ht="15" customHeight="1">
      <c r="A9" s="34" t="str">
        <f>IFERROR(INDEX(_xlfn._xlws.SORT(_xlfn.UNIQUE(_xlfn._xlws.FILTER('Başvuru Formu'!$C$15:$C$29,'Başvuru Formu'!$C$15:$C$29&lt;&gt;""))),ROWS($A$3:A9)),"")</f>
        <v/>
      </c>
      <c r="B9" s="35" t="str">
        <f>IF(A9="","",IF(COUNTIF('Başvuru Formu'!$C$15:$C$29,A9)&lt;&gt;COUNTIFS('Başvuru Formu'!$C$15:$C$29,A9,'Başvuru Formu'!$P$15:$P$29,"&gt;0"),"",SUMIF('Başvuru Formu'!$C$15:$C$29,A9,'Başvuru Formu'!$P$15:$P$29)))</f>
        <v/>
      </c>
      <c r="C9" s="36" t="str">
        <f>IF(OR(A9="",B9=""),"",SUMIFS('Başvuru Formu'!$P$15:$P$29,'Başvuru Formu'!$C$15:$C$29,A9,'Başvuru Formu'!$O$15:$O$29,"&gt;=4",'Başvuru Formu'!$O$15:$O$29,"&lt;=6"))</f>
        <v/>
      </c>
      <c r="D9" s="48" t="str">
        <f t="shared" si="0"/>
        <v/>
      </c>
      <c r="E9" s="48" t="str">
        <f t="shared" si="1"/>
        <v/>
      </c>
      <c r="F9" s="37" t="str">
        <f>IF(A9="","",SUMIF('Başvuru Formu'!$C$15:$C$29,A9,'Başvuru Formu'!$K$15:$K$29))</f>
        <v/>
      </c>
    </row>
    <row r="10" spans="1:6" ht="15" customHeight="1">
      <c r="A10" s="34" t="str">
        <f>IFERROR(INDEX(_xlfn._xlws.SORT(_xlfn.UNIQUE(_xlfn._xlws.FILTER('Başvuru Formu'!$C$15:$C$29,'Başvuru Formu'!$C$15:$C$29&lt;&gt;""))),ROWS($A$3:A10)),"")</f>
        <v/>
      </c>
      <c r="B10" s="35" t="str">
        <f>IF(A10="","",IF(COUNTIF('Başvuru Formu'!$C$15:$C$29,A10)&lt;&gt;COUNTIFS('Başvuru Formu'!$C$15:$C$29,A10,'Başvuru Formu'!$P$15:$P$29,"&gt;0"),"",SUMIF('Başvuru Formu'!$C$15:$C$29,A10,'Başvuru Formu'!$P$15:$P$29)))</f>
        <v/>
      </c>
      <c r="C10" s="36" t="str">
        <f>IF(OR(A10="",B10=""),"",SUMIFS('Başvuru Formu'!$P$15:$P$29,'Başvuru Formu'!$C$15:$C$29,A10,'Başvuru Formu'!$O$15:$O$29,"&gt;=4",'Başvuru Formu'!$O$15:$O$29,"&lt;=6"))</f>
        <v/>
      </c>
      <c r="D10" s="48" t="str">
        <f t="shared" si="0"/>
        <v/>
      </c>
      <c r="E10" s="48" t="str">
        <f t="shared" si="1"/>
        <v/>
      </c>
      <c r="F10" s="37" t="str">
        <f>IF(A10="","",SUMIF('Başvuru Formu'!$C$15:$C$29,A10,'Başvuru Formu'!$K$15:$K$29))</f>
        <v/>
      </c>
    </row>
    <row r="11" spans="1:6" ht="15" customHeight="1">
      <c r="A11" s="34" t="str">
        <f>IFERROR(INDEX(_xlfn._xlws.SORT(_xlfn.UNIQUE(_xlfn._xlws.FILTER('Başvuru Formu'!$C$15:$C$29,'Başvuru Formu'!$C$15:$C$29&lt;&gt;""))),ROWS($A$3:A11)),"")</f>
        <v/>
      </c>
      <c r="B11" s="35" t="str">
        <f>IF(A11="","",IF(COUNTIF('Başvuru Formu'!$C$15:$C$29,A11)&lt;&gt;COUNTIFS('Başvuru Formu'!$C$15:$C$29,A11,'Başvuru Formu'!$P$15:$P$29,"&gt;0"),"",SUMIF('Başvuru Formu'!$C$15:$C$29,A11,'Başvuru Formu'!$P$15:$P$29)))</f>
        <v/>
      </c>
      <c r="C11" s="36" t="str">
        <f>IF(OR(A11="",B11=""),"",SUMIFS('Başvuru Formu'!$P$15:$P$29,'Başvuru Formu'!$C$15:$C$29,A11,'Başvuru Formu'!$O$15:$O$29,"&gt;=4",'Başvuru Formu'!$O$15:$O$29,"&lt;=6"))</f>
        <v/>
      </c>
      <c r="D11" s="48" t="str">
        <f t="shared" si="0"/>
        <v/>
      </c>
      <c r="E11" s="48" t="str">
        <f t="shared" si="1"/>
        <v/>
      </c>
      <c r="F11" s="37" t="str">
        <f>IF(A11="","",SUMIF('Başvuru Formu'!$C$15:$C$29,A11,'Başvuru Formu'!$K$15:$K$29))</f>
        <v/>
      </c>
    </row>
    <row r="12" spans="1:6" ht="15" customHeight="1">
      <c r="A12" s="34" t="str">
        <f>IFERROR(INDEX(_xlfn._xlws.SORT(_xlfn.UNIQUE(_xlfn._xlws.FILTER('Başvuru Formu'!$C$15:$C$29,'Başvuru Formu'!$C$15:$C$29&lt;&gt;""))),ROWS($A$3:A12)),"")</f>
        <v/>
      </c>
      <c r="B12" s="35" t="str">
        <f>IF(A12="","",IF(COUNTIF('Başvuru Formu'!$C$15:$C$29,A12)&lt;&gt;COUNTIFS('Başvuru Formu'!$C$15:$C$29,A12,'Başvuru Formu'!$P$15:$P$29,"&gt;0"),"",SUMIF('Başvuru Formu'!$C$15:$C$29,A12,'Başvuru Formu'!$P$15:$P$29)))</f>
        <v/>
      </c>
      <c r="C12" s="36" t="str">
        <f>IF(OR(A12="",B12=""),"",SUMIFS('Başvuru Formu'!$P$15:$P$29,'Başvuru Formu'!$C$15:$C$29,A12,'Başvuru Formu'!$O$15:$O$29,"&gt;=4",'Başvuru Formu'!$O$15:$O$29,"&lt;=6"))</f>
        <v/>
      </c>
      <c r="D12" s="48" t="str">
        <f t="shared" si="0"/>
        <v/>
      </c>
      <c r="E12" s="48" t="str">
        <f t="shared" si="1"/>
        <v/>
      </c>
      <c r="F12" s="37" t="str">
        <f>IF(A12="","",SUMIF('Başvuru Formu'!$C$15:$C$29,A12,'Başvuru Formu'!$K$15:$K$29))</f>
        <v/>
      </c>
    </row>
    <row r="13" spans="1:6" ht="15" customHeight="1">
      <c r="A13" s="34" t="str">
        <f>IFERROR(INDEX(_xlfn._xlws.SORT(_xlfn.UNIQUE(_xlfn._xlws.FILTER('Başvuru Formu'!$C$15:$C$29,'Başvuru Formu'!$C$15:$C$29&lt;&gt;""))),ROWS($A$3:A13)),"")</f>
        <v/>
      </c>
      <c r="B13" s="35" t="str">
        <f>IF(A13="","",IF(COUNTIF('Başvuru Formu'!$C$15:$C$29,A13)&lt;&gt;COUNTIFS('Başvuru Formu'!$C$15:$C$29,A13,'Başvuru Formu'!$P$15:$P$29,"&gt;0"),"",SUMIF('Başvuru Formu'!$C$15:$C$29,A13,'Başvuru Formu'!$P$15:$P$29)))</f>
        <v/>
      </c>
      <c r="C13" s="36" t="str">
        <f>IF(OR(A13="",B13=""),"",SUMIFS('Başvuru Formu'!$P$15:$P$29,'Başvuru Formu'!$C$15:$C$29,A13,'Başvuru Formu'!$O$15:$O$29,"&gt;=4",'Başvuru Formu'!$O$15:$O$29,"&lt;=6"))</f>
        <v/>
      </c>
      <c r="D13" s="48" t="str">
        <f t="shared" si="0"/>
        <v/>
      </c>
      <c r="E13" s="48" t="str">
        <f t="shared" si="1"/>
        <v/>
      </c>
      <c r="F13" s="37" t="str">
        <f>IF(A13="","",SUMIF('Başvuru Formu'!$C$15:$C$29,A13,'Başvuru Formu'!$K$15:$K$29))</f>
        <v/>
      </c>
    </row>
    <row r="14" spans="1:6" ht="15" customHeight="1">
      <c r="A14" s="34" t="str">
        <f>IFERROR(INDEX(_xlfn._xlws.SORT(_xlfn.UNIQUE(_xlfn._xlws.FILTER('Başvuru Formu'!$C$15:$C$29,'Başvuru Formu'!$C$15:$C$29&lt;&gt;""))),ROWS($A$3:A14)),"")</f>
        <v/>
      </c>
      <c r="B14" s="35" t="str">
        <f>IF(A14="","",IF(COUNTIF('Başvuru Formu'!$C$15:$C$29,A14)&lt;&gt;COUNTIFS('Başvuru Formu'!$C$15:$C$29,A14,'Başvuru Formu'!$P$15:$P$29,"&gt;0"),"",SUMIF('Başvuru Formu'!$C$15:$C$29,A14,'Başvuru Formu'!$P$15:$P$29)))</f>
        <v/>
      </c>
      <c r="C14" s="36" t="str">
        <f>IF(OR(A14="",B14=""),"",SUMIFS('Başvuru Formu'!$P$15:$P$29,'Başvuru Formu'!$C$15:$C$29,A14,'Başvuru Formu'!$O$15:$O$29,"&gt;=4",'Başvuru Formu'!$O$15:$O$29,"&lt;=6"))</f>
        <v/>
      </c>
      <c r="D14" s="48" t="str">
        <f t="shared" si="0"/>
        <v/>
      </c>
      <c r="E14" s="48" t="str">
        <f t="shared" si="1"/>
        <v/>
      </c>
      <c r="F14" s="37" t="str">
        <f>IF(A14="","",SUMIF('Başvuru Formu'!$C$15:$C$29,A14,'Başvuru Formu'!$K$15:$K$29))</f>
        <v/>
      </c>
    </row>
    <row r="15" spans="1:6" ht="15" customHeight="1">
      <c r="A15" s="34" t="str">
        <f>IFERROR(INDEX(_xlfn._xlws.SORT(_xlfn.UNIQUE(_xlfn._xlws.FILTER('Başvuru Formu'!$C$15:$C$29,'Başvuru Formu'!$C$15:$C$29&lt;&gt;""))),ROWS($A$3:A15)),"")</f>
        <v/>
      </c>
      <c r="B15" s="35" t="str">
        <f>IF(A15="","",IF(COUNTIF('Başvuru Formu'!$C$15:$C$29,A15)&lt;&gt;COUNTIFS('Başvuru Formu'!$C$15:$C$29,A15,'Başvuru Formu'!$P$15:$P$29,"&gt;0"),"",SUMIF('Başvuru Formu'!$C$15:$C$29,A15,'Başvuru Formu'!$P$15:$P$29)))</f>
        <v/>
      </c>
      <c r="C15" s="36" t="str">
        <f>IF(OR(A15="",B15=""),"",SUMIFS('Başvuru Formu'!$P$15:$P$29,'Başvuru Formu'!$C$15:$C$29,A15,'Başvuru Formu'!$O$15:$O$29,"&gt;=4",'Başvuru Formu'!$O$15:$O$29,"&lt;=6"))</f>
        <v/>
      </c>
      <c r="D15" s="48" t="str">
        <f t="shared" si="0"/>
        <v/>
      </c>
      <c r="E15" s="48" t="str">
        <f t="shared" si="1"/>
        <v/>
      </c>
      <c r="F15" s="37" t="str">
        <f>IF(A15="","",SUMIF('Başvuru Formu'!$C$15:$C$29,A15,'Başvuru Formu'!$K$15:$K$29))</f>
        <v/>
      </c>
    </row>
    <row r="16" spans="1:6" ht="15" customHeight="1">
      <c r="A16" s="34" t="str">
        <f>IFERROR(INDEX(_xlfn._xlws.SORT(_xlfn.UNIQUE(_xlfn._xlws.FILTER('Başvuru Formu'!$C$15:$C$29,'Başvuru Formu'!$C$15:$C$29&lt;&gt;""))),ROWS($A$3:A16)),"")</f>
        <v/>
      </c>
      <c r="B16" s="35" t="str">
        <f>IF(A16="","",IF(COUNTIF('Başvuru Formu'!$C$15:$C$29,A16)&lt;&gt;COUNTIFS('Başvuru Formu'!$C$15:$C$29,A16,'Başvuru Formu'!$P$15:$P$29,"&gt;0"),"",SUMIF('Başvuru Formu'!$C$15:$C$29,A16,'Başvuru Formu'!$P$15:$P$29)))</f>
        <v/>
      </c>
      <c r="C16" s="36" t="str">
        <f>IF(OR(A16="",B16=""),"",SUMIFS('Başvuru Formu'!$P$15:$P$29,'Başvuru Formu'!$C$15:$C$29,A16,'Başvuru Formu'!$O$15:$O$29,"&gt;=4",'Başvuru Formu'!$O$15:$O$29,"&lt;=6"))</f>
        <v/>
      </c>
      <c r="D16" s="48" t="str">
        <f t="shared" si="0"/>
        <v/>
      </c>
      <c r="E16" s="48" t="str">
        <f t="shared" si="1"/>
        <v/>
      </c>
      <c r="F16" s="37" t="str">
        <f>IF(A16="","",SUMIF('Başvuru Formu'!$C$15:$C$29,A16,'Başvuru Formu'!$K$15:$K$29))</f>
        <v/>
      </c>
    </row>
    <row r="17" spans="1:6" ht="15" customHeight="1">
      <c r="A17" s="34" t="str">
        <f>IFERROR(INDEX(_xlfn._xlws.SORT(_xlfn.UNIQUE(_xlfn._xlws.FILTER('Başvuru Formu'!$C$15:$C$29,'Başvuru Formu'!$C$15:$C$29&lt;&gt;""))),ROWS($A$3:A17)),"")</f>
        <v/>
      </c>
      <c r="B17" s="35" t="str">
        <f>IF(A17="","",IF(COUNTIF('Başvuru Formu'!$C$15:$C$29,A17)&lt;&gt;COUNTIFS('Başvuru Formu'!$C$15:$C$29,A17,'Başvuru Formu'!$P$15:$P$29,"&gt;0"),"",SUMIF('Başvuru Formu'!$C$15:$C$29,A17,'Başvuru Formu'!$P$15:$P$29)))</f>
        <v/>
      </c>
      <c r="C17" s="36" t="str">
        <f>IF(OR(A17="",B17=""),"",SUMIFS('Başvuru Formu'!$P$15:$P$29,'Başvuru Formu'!$C$15:$C$29,A17,'Başvuru Formu'!$O$15:$O$29,"&gt;=4",'Başvuru Formu'!$O$15:$O$29,"&lt;=6"))</f>
        <v/>
      </c>
      <c r="D17" s="48" t="str">
        <f t="shared" si="0"/>
        <v/>
      </c>
      <c r="E17" s="48" t="str">
        <f t="shared" si="1"/>
        <v/>
      </c>
      <c r="F17" s="37" t="str">
        <f>IF(A17="","",SUMIF('Başvuru Formu'!$C$15:$C$29,A17,'Başvuru Formu'!$K$15:$K$29))</f>
        <v/>
      </c>
    </row>
    <row r="18" spans="1:6" ht="15" customHeight="1">
      <c r="A18" s="39" t="str">
        <f>IFERROR(INDEX(_xlfn._xlws.SORT(_xlfn.UNIQUE(_xlfn._xlws.FILTER('Başvuru Formu'!$C$15:$C$29,'Başvuru Formu'!$C$15:$C$29&lt;&gt;""))),ROWS($A$3:A18)),"")</f>
        <v/>
      </c>
      <c r="B18" s="38" t="str">
        <f>IF(A18="","",IF(COUNTIF('Başvuru Formu'!$C$15:$C$29,A18)&lt;&gt;COUNTIFS('Başvuru Formu'!$C$15:$C$29,A18,'Başvuru Formu'!$P$15:$P$29,"&gt;0"),"",SUMIF('Başvuru Formu'!$C$15:$C$29,A18,'Başvuru Formu'!$P$15:$P$29)))</f>
        <v/>
      </c>
      <c r="C18" s="38" t="str">
        <f>IF(OR(A18="",B18=""),"",SUMIFS('Başvuru Formu'!$P$15:$P$29,'Başvuru Formu'!$C$15:$C$29,A18,'Başvuru Formu'!$O$15:$O$29,"&gt;=4",'Başvuru Formu'!$O$15:$O$29,"&lt;=6"))</f>
        <v/>
      </c>
      <c r="D18" s="49" t="str">
        <f>IF(OR(A18="",B18="",B18=0),"",C18/B18)</f>
        <v/>
      </c>
      <c r="E18" s="49" t="str">
        <f>IF(OR(A18="",B18="",$B$19="",$B$19=0),"",B18/$B$19)</f>
        <v/>
      </c>
      <c r="F18" s="38" t="str">
        <f>IF(A18="","",SUMIF('Başvuru Formu'!$C$15:$C$29,A18,'Başvuru Formu'!$K$15:$K$29))</f>
        <v/>
      </c>
    </row>
    <row r="19" spans="1:6" ht="15" customHeight="1">
      <c r="A19" s="50" t="s">
        <v>2108</v>
      </c>
      <c r="B19" s="51">
        <f>SUM(B3:B18)</f>
        <v>168000000</v>
      </c>
      <c r="C19" s="51">
        <f>SUM(C3:C18)</f>
        <v>70800000</v>
      </c>
      <c r="D19" s="52">
        <f>IF(OR(B19="",B19=0),"",C19/B19)</f>
        <v>0.42142857142857143</v>
      </c>
      <c r="E19" s="52">
        <f>IF(B19=0,"",SUM(E3:E18))</f>
        <v>1</v>
      </c>
      <c r="F19" s="51">
        <f>SUM(F3:F18)</f>
        <v>100</v>
      </c>
    </row>
  </sheetData>
  <mergeCells count="1">
    <mergeCell ref="A1:F1"/>
  </mergeCells>
  <conditionalFormatting sqref="E3:E17">
    <cfRule type="dataBar" priority="1">
      <dataBar>
        <cfvo type="min"/>
        <cfvo type="max"/>
        <color rgb="FF0F6B78"/>
      </dataBar>
    </cfRule>
  </conditionalFormatting>
  <conditionalFormatting sqref="E3:E17">
    <cfRule type="dataBar" priority="2">
      <dataBar>
        <cfvo type="min"/>
        <cfvo type="max"/>
        <color rgb="FF0F6B78"/>
      </dataBar>
    </cfRule>
  </conditionalFormatting>
  <conditionalFormatting sqref="E3:E17">
    <cfRule type="dataBar" priority="3">
      <dataBar>
        <cfvo type="min"/>
        <cfvo type="max"/>
        <color rgb="FF0F6B78"/>
      </dataBar>
    </cfRule>
  </conditionalFormatting>
  <conditionalFormatting sqref="E3:E17">
    <cfRule type="dataBar" priority="4">
      <dataBar>
        <cfvo type="min"/>
        <cfvo type="max"/>
        <color rgb="FF0F6B78"/>
      </dataBar>
      <extLst>
        <ext xmlns:x14="http://schemas.microsoft.com/office/spreadsheetml/2009/9/main" uri="{B025F937-C7B1-47D3-B67F-A62EFF666E3E}">
          <x14:id>{2EDF38C4-65AB-4712-8AB2-EA9690A5D80C}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EDF38C4-65AB-4712-8AB2-EA9690A5D80C}">
            <x14:dataBar>
              <x14:cfvo type="min"/>
              <x14:cfvo type="max"/>
              <x14:negativeFillColor auto="1"/>
              <x14:axisColor auto="1"/>
            </x14:dataBar>
          </x14:cfRule>
          <xm:sqref>E3:E17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74"/>
  <sheetViews>
    <sheetView showGridLines="0" topLeftCell="C1" workbookViewId="0">
      <selection activeCell="F10" sqref="F10"/>
    </sheetView>
  </sheetViews>
  <sheetFormatPr defaultRowHeight="14.25"/>
  <cols>
    <col min="1" max="1" width="18" customWidth="1"/>
    <col min="2" max="2" width="25" customWidth="1"/>
    <col min="3" max="3" width="29" customWidth="1"/>
    <col min="4" max="4" width="24" customWidth="1"/>
    <col min="5" max="5" width="22" customWidth="1"/>
    <col min="6" max="6" width="20" customWidth="1"/>
    <col min="7" max="7" width="12" customWidth="1"/>
    <col min="8" max="8" width="22" customWidth="1"/>
    <col min="9" max="9" width="3" customWidth="1"/>
    <col min="10" max="10" width="28" customWidth="1"/>
    <col min="11" max="11" width="16" customWidth="1"/>
    <col min="12" max="12" width="18" customWidth="1"/>
    <col min="13" max="13" width="10" customWidth="1"/>
    <col min="14" max="14" width="19" customWidth="1"/>
    <col min="16" max="16" width="35" customWidth="1"/>
  </cols>
  <sheetData>
    <row r="1" spans="1:16" ht="30" customHeight="1">
      <c r="A1" s="89" t="s">
        <v>50</v>
      </c>
      <c r="B1" s="89"/>
      <c r="C1" s="89"/>
      <c r="D1" s="89"/>
      <c r="E1" s="89"/>
      <c r="F1" s="89"/>
      <c r="G1" s="89"/>
      <c r="H1" s="89"/>
      <c r="J1" s="14" t="s">
        <v>51</v>
      </c>
      <c r="K1" s="14" t="s">
        <v>52</v>
      </c>
      <c r="L1" s="14" t="s">
        <v>53</v>
      </c>
      <c r="M1" s="14" t="s">
        <v>54</v>
      </c>
      <c r="N1" s="14" t="s">
        <v>55</v>
      </c>
      <c r="P1" s="18" t="s">
        <v>56</v>
      </c>
    </row>
    <row r="2" spans="1:16" ht="33.950000000000003" customHeight="1">
      <c r="A2" s="73" t="s">
        <v>57</v>
      </c>
      <c r="B2" s="73"/>
      <c r="C2" s="73"/>
      <c r="D2" s="73"/>
      <c r="E2" s="73"/>
      <c r="F2" s="73"/>
      <c r="G2" s="73"/>
      <c r="H2" s="73"/>
      <c r="J2" s="15" t="s">
        <v>58</v>
      </c>
      <c r="K2" s="15" t="s">
        <v>59</v>
      </c>
      <c r="L2" s="15" t="s">
        <v>60</v>
      </c>
      <c r="M2" s="16">
        <v>5</v>
      </c>
      <c r="N2" s="15" t="s">
        <v>61</v>
      </c>
      <c r="P2" s="19" t="s">
        <v>62</v>
      </c>
    </row>
    <row r="3" spans="1:16">
      <c r="J3" s="15" t="s">
        <v>63</v>
      </c>
      <c r="K3" s="15" t="s">
        <v>59</v>
      </c>
      <c r="L3" s="15" t="s">
        <v>64</v>
      </c>
      <c r="M3" s="16">
        <v>3</v>
      </c>
      <c r="N3" s="15" t="s">
        <v>65</v>
      </c>
      <c r="P3" s="17"/>
    </row>
    <row r="4" spans="1:16" ht="15">
      <c r="A4" s="64" t="s">
        <v>66</v>
      </c>
      <c r="B4" s="64"/>
      <c r="C4" s="64"/>
      <c r="D4" s="64"/>
      <c r="E4" s="64"/>
      <c r="F4" s="64"/>
      <c r="G4" s="64"/>
      <c r="H4" s="64"/>
      <c r="J4" s="15" t="s">
        <v>67</v>
      </c>
      <c r="K4" s="15" t="s">
        <v>59</v>
      </c>
      <c r="L4" s="15" t="s">
        <v>68</v>
      </c>
      <c r="M4" s="16">
        <v>2</v>
      </c>
      <c r="N4" s="15" t="s">
        <v>69</v>
      </c>
      <c r="P4" s="18" t="s">
        <v>70</v>
      </c>
    </row>
    <row r="5" spans="1:16" ht="42.75">
      <c r="A5" s="5" t="s">
        <v>71</v>
      </c>
      <c r="B5" s="5" t="s">
        <v>72</v>
      </c>
      <c r="C5" s="5" t="s">
        <v>73</v>
      </c>
      <c r="D5" s="5" t="s">
        <v>74</v>
      </c>
      <c r="E5" s="5" t="s">
        <v>75</v>
      </c>
      <c r="F5" s="5" t="s">
        <v>76</v>
      </c>
      <c r="G5" s="5" t="s">
        <v>77</v>
      </c>
      <c r="H5" s="5" t="s">
        <v>78</v>
      </c>
      <c r="J5" s="15" t="s">
        <v>79</v>
      </c>
      <c r="K5" s="15" t="s">
        <v>59</v>
      </c>
      <c r="L5" s="15" t="s">
        <v>80</v>
      </c>
      <c r="M5" s="16">
        <v>6</v>
      </c>
      <c r="N5" s="15" t="s">
        <v>81</v>
      </c>
      <c r="P5" s="19" t="s">
        <v>82</v>
      </c>
    </row>
    <row r="6" spans="1:16" ht="48" customHeight="1">
      <c r="A6" s="6" t="s">
        <v>83</v>
      </c>
      <c r="B6" s="6" t="s">
        <v>84</v>
      </c>
      <c r="C6" s="6" t="s">
        <v>85</v>
      </c>
      <c r="D6" s="6" t="s">
        <v>86</v>
      </c>
      <c r="E6" s="6" t="s">
        <v>87</v>
      </c>
      <c r="F6" s="6" t="s">
        <v>88</v>
      </c>
      <c r="G6" s="6" t="s">
        <v>89</v>
      </c>
      <c r="H6" s="6" t="s">
        <v>90</v>
      </c>
      <c r="J6" s="15" t="s">
        <v>91</v>
      </c>
      <c r="K6" s="15" t="s">
        <v>59</v>
      </c>
      <c r="L6" s="15" t="s">
        <v>92</v>
      </c>
      <c r="M6" s="16">
        <v>4</v>
      </c>
      <c r="N6" s="15" t="s">
        <v>93</v>
      </c>
    </row>
    <row r="7" spans="1:16" ht="48" customHeight="1">
      <c r="A7" s="6" t="s">
        <v>94</v>
      </c>
      <c r="B7" s="6" t="s">
        <v>95</v>
      </c>
      <c r="C7" s="6" t="s">
        <v>96</v>
      </c>
      <c r="D7" s="6" t="s">
        <v>97</v>
      </c>
      <c r="E7" s="6" t="s">
        <v>98</v>
      </c>
      <c r="F7" s="6" t="s">
        <v>99</v>
      </c>
      <c r="G7" s="6" t="s">
        <v>89</v>
      </c>
      <c r="H7" s="6" t="s">
        <v>100</v>
      </c>
      <c r="J7" s="15" t="s">
        <v>101</v>
      </c>
      <c r="K7" s="15" t="s">
        <v>59</v>
      </c>
      <c r="L7" s="15" t="s">
        <v>102</v>
      </c>
      <c r="M7" s="16">
        <v>5</v>
      </c>
      <c r="N7" s="15" t="s">
        <v>61</v>
      </c>
    </row>
    <row r="8" spans="1:16" ht="57.95" customHeight="1">
      <c r="A8" s="6" t="s">
        <v>103</v>
      </c>
      <c r="B8" s="6" t="s">
        <v>104</v>
      </c>
      <c r="C8" s="6" t="s">
        <v>105</v>
      </c>
      <c r="D8" s="6" t="s">
        <v>106</v>
      </c>
      <c r="E8" s="6" t="s">
        <v>107</v>
      </c>
      <c r="F8" s="6" t="s">
        <v>108</v>
      </c>
      <c r="G8" s="6" t="s">
        <v>89</v>
      </c>
      <c r="H8" s="6" t="s">
        <v>109</v>
      </c>
      <c r="J8" s="15" t="s">
        <v>110</v>
      </c>
      <c r="K8" s="15" t="s">
        <v>59</v>
      </c>
      <c r="L8" s="15" t="s">
        <v>111</v>
      </c>
      <c r="M8" s="16">
        <v>5</v>
      </c>
      <c r="N8" s="15" t="s">
        <v>61</v>
      </c>
    </row>
    <row r="9" spans="1:16" ht="57.95" customHeight="1">
      <c r="A9" s="6" t="s">
        <v>112</v>
      </c>
      <c r="B9" s="6" t="s">
        <v>113</v>
      </c>
      <c r="C9" s="6" t="s">
        <v>114</v>
      </c>
      <c r="D9" s="6" t="s">
        <v>115</v>
      </c>
      <c r="E9" s="6" t="s">
        <v>116</v>
      </c>
      <c r="F9" s="6" t="s">
        <v>117</v>
      </c>
      <c r="G9" s="6" t="s">
        <v>89</v>
      </c>
      <c r="H9" s="6" t="s">
        <v>118</v>
      </c>
      <c r="J9" s="15" t="s">
        <v>119</v>
      </c>
      <c r="K9" s="15" t="s">
        <v>59</v>
      </c>
      <c r="L9" s="15" t="s">
        <v>120</v>
      </c>
      <c r="M9" s="16">
        <v>3</v>
      </c>
      <c r="N9" s="15" t="s">
        <v>65</v>
      </c>
    </row>
    <row r="10" spans="1:16" ht="48" customHeight="1">
      <c r="A10" s="6" t="s">
        <v>121</v>
      </c>
      <c r="B10" s="6" t="s">
        <v>122</v>
      </c>
      <c r="C10" s="6" t="s">
        <v>123</v>
      </c>
      <c r="D10" s="6" t="s">
        <v>124</v>
      </c>
      <c r="E10" s="6" t="s">
        <v>125</v>
      </c>
      <c r="F10" s="6" t="s">
        <v>126</v>
      </c>
      <c r="G10" s="6" t="s">
        <v>89</v>
      </c>
      <c r="H10" s="6" t="s">
        <v>127</v>
      </c>
      <c r="J10" s="15" t="s">
        <v>128</v>
      </c>
      <c r="K10" s="15" t="s">
        <v>59</v>
      </c>
      <c r="L10" s="15" t="s">
        <v>129</v>
      </c>
      <c r="M10" s="16">
        <v>4</v>
      </c>
      <c r="N10" s="15" t="s">
        <v>93</v>
      </c>
    </row>
    <row r="11" spans="1:16" ht="48" customHeight="1">
      <c r="A11" s="6" t="s">
        <v>130</v>
      </c>
      <c r="B11" s="6" t="s">
        <v>131</v>
      </c>
      <c r="C11" s="6" t="s">
        <v>132</v>
      </c>
      <c r="D11" s="6" t="s">
        <v>133</v>
      </c>
      <c r="E11" s="6" t="s">
        <v>134</v>
      </c>
      <c r="F11" s="6" t="s">
        <v>135</v>
      </c>
      <c r="G11" s="6" t="s">
        <v>89</v>
      </c>
      <c r="H11" s="6" t="s">
        <v>136</v>
      </c>
      <c r="J11" s="15" t="s">
        <v>137</v>
      </c>
      <c r="K11" s="15" t="s">
        <v>59</v>
      </c>
      <c r="L11" s="15" t="s">
        <v>138</v>
      </c>
      <c r="M11" s="16">
        <v>6</v>
      </c>
      <c r="N11" s="15" t="s">
        <v>81</v>
      </c>
    </row>
    <row r="12" spans="1:16" ht="48" customHeight="1">
      <c r="A12" s="6" t="s">
        <v>139</v>
      </c>
      <c r="B12" s="6" t="s">
        <v>140</v>
      </c>
      <c r="C12" s="6" t="s">
        <v>141</v>
      </c>
      <c r="D12" s="6" t="s">
        <v>142</v>
      </c>
      <c r="E12" s="6" t="s">
        <v>143</v>
      </c>
      <c r="F12" s="6" t="s">
        <v>144</v>
      </c>
      <c r="G12" s="6" t="s">
        <v>89</v>
      </c>
      <c r="H12" s="6" t="s">
        <v>145</v>
      </c>
      <c r="J12" s="15" t="s">
        <v>146</v>
      </c>
      <c r="K12" s="15" t="s">
        <v>59</v>
      </c>
      <c r="L12" s="15" t="s">
        <v>147</v>
      </c>
      <c r="M12" s="16">
        <v>2</v>
      </c>
      <c r="N12" s="15" t="s">
        <v>69</v>
      </c>
    </row>
    <row r="13" spans="1:16">
      <c r="J13" s="15" t="s">
        <v>148</v>
      </c>
      <c r="K13" s="15" t="s">
        <v>59</v>
      </c>
      <c r="L13" s="15" t="s">
        <v>149</v>
      </c>
      <c r="M13" s="16">
        <v>1</v>
      </c>
      <c r="N13" s="15" t="s">
        <v>150</v>
      </c>
    </row>
    <row r="14" spans="1:16">
      <c r="A14" s="64" t="s">
        <v>151</v>
      </c>
      <c r="B14" s="64"/>
      <c r="C14" s="64"/>
      <c r="D14" s="64"/>
      <c r="E14" s="64"/>
      <c r="F14" s="64"/>
      <c r="G14" s="64"/>
      <c r="H14" s="64"/>
      <c r="J14" s="15" t="s">
        <v>152</v>
      </c>
      <c r="K14" s="15" t="s">
        <v>59</v>
      </c>
      <c r="L14" s="15" t="s">
        <v>153</v>
      </c>
      <c r="M14" s="16">
        <v>5</v>
      </c>
      <c r="N14" s="15" t="s">
        <v>61</v>
      </c>
    </row>
    <row r="15" spans="1:16">
      <c r="A15" s="10" t="s">
        <v>154</v>
      </c>
      <c r="B15" s="10" t="s">
        <v>155</v>
      </c>
      <c r="C15" s="10" t="s">
        <v>156</v>
      </c>
      <c r="D15" s="10" t="s">
        <v>157</v>
      </c>
      <c r="E15" s="10" t="s">
        <v>158</v>
      </c>
      <c r="F15" s="10" t="s">
        <v>159</v>
      </c>
      <c r="G15" s="10" t="s">
        <v>160</v>
      </c>
      <c r="H15" s="10" t="s">
        <v>56</v>
      </c>
      <c r="J15" s="15" t="s">
        <v>161</v>
      </c>
      <c r="K15" s="15" t="s">
        <v>59</v>
      </c>
      <c r="L15" s="15" t="s">
        <v>162</v>
      </c>
      <c r="M15" s="16">
        <v>4</v>
      </c>
      <c r="N15" s="15" t="s">
        <v>93</v>
      </c>
    </row>
    <row r="16" spans="1:16" ht="57.95" customHeight="1">
      <c r="A16" s="6" t="s">
        <v>163</v>
      </c>
      <c r="B16" s="6" t="s">
        <v>164</v>
      </c>
      <c r="C16" s="6" t="s">
        <v>165</v>
      </c>
      <c r="D16" s="6" t="s">
        <v>166</v>
      </c>
      <c r="E16" s="6" t="s">
        <v>167</v>
      </c>
      <c r="F16" s="6" t="s">
        <v>168</v>
      </c>
      <c r="G16" s="6" t="s">
        <v>169</v>
      </c>
      <c r="H16" s="6" t="s">
        <v>170</v>
      </c>
      <c r="J16" s="15" t="s">
        <v>171</v>
      </c>
      <c r="K16" s="15" t="s">
        <v>59</v>
      </c>
      <c r="L16" s="15" t="s">
        <v>172</v>
      </c>
      <c r="M16" s="16">
        <v>2</v>
      </c>
      <c r="N16" s="15" t="s">
        <v>69</v>
      </c>
    </row>
    <row r="17" spans="1:14" ht="72" customHeight="1">
      <c r="A17" s="6" t="s">
        <v>173</v>
      </c>
      <c r="B17" s="6" t="s">
        <v>174</v>
      </c>
      <c r="C17" s="6" t="s">
        <v>175</v>
      </c>
      <c r="D17" s="6" t="s">
        <v>176</v>
      </c>
      <c r="E17" s="6" t="s">
        <v>177</v>
      </c>
      <c r="F17" s="6" t="s">
        <v>178</v>
      </c>
      <c r="G17" s="6" t="s">
        <v>179</v>
      </c>
      <c r="H17" s="6" t="s">
        <v>180</v>
      </c>
      <c r="J17" s="15" t="s">
        <v>181</v>
      </c>
      <c r="K17" s="15" t="s">
        <v>182</v>
      </c>
      <c r="L17" s="15" t="s">
        <v>183</v>
      </c>
      <c r="M17" s="16">
        <v>4</v>
      </c>
      <c r="N17" s="15" t="s">
        <v>93</v>
      </c>
    </row>
    <row r="18" spans="1:14" ht="57.95" customHeight="1">
      <c r="A18" s="11"/>
      <c r="B18" s="11"/>
      <c r="C18" s="11"/>
      <c r="D18" s="11"/>
      <c r="E18" s="11"/>
      <c r="F18" s="11"/>
      <c r="G18" s="11"/>
      <c r="H18" s="11"/>
      <c r="J18" s="15" t="s">
        <v>184</v>
      </c>
      <c r="K18" s="15" t="s">
        <v>182</v>
      </c>
      <c r="L18" s="15" t="s">
        <v>185</v>
      </c>
      <c r="M18" s="16">
        <v>5</v>
      </c>
      <c r="N18" s="15" t="s">
        <v>61</v>
      </c>
    </row>
    <row r="19" spans="1:14">
      <c r="J19" s="15" t="s">
        <v>186</v>
      </c>
      <c r="K19" s="15" t="s">
        <v>182</v>
      </c>
      <c r="L19" s="15" t="s">
        <v>187</v>
      </c>
      <c r="M19" s="16">
        <v>6</v>
      </c>
      <c r="N19" s="15" t="s">
        <v>81</v>
      </c>
    </row>
    <row r="20" spans="1:14">
      <c r="A20" s="64" t="s">
        <v>188</v>
      </c>
      <c r="B20" s="64"/>
      <c r="C20" s="64"/>
      <c r="D20" s="64"/>
      <c r="E20" s="64"/>
      <c r="F20" s="64"/>
      <c r="G20" s="64"/>
      <c r="H20" s="64"/>
      <c r="J20" s="15" t="s">
        <v>189</v>
      </c>
      <c r="K20" s="15" t="s">
        <v>182</v>
      </c>
      <c r="L20" s="15" t="s">
        <v>190</v>
      </c>
      <c r="M20" s="16">
        <v>3</v>
      </c>
      <c r="N20" s="15" t="s">
        <v>65</v>
      </c>
    </row>
    <row r="21" spans="1:14" ht="24" customHeight="1">
      <c r="A21" s="88" t="s">
        <v>191</v>
      </c>
      <c r="B21" s="88"/>
      <c r="C21" s="88"/>
      <c r="D21" s="88"/>
      <c r="E21" s="88"/>
      <c r="F21" s="88"/>
      <c r="G21" s="88"/>
      <c r="H21" s="88"/>
      <c r="J21" s="15" t="s">
        <v>192</v>
      </c>
      <c r="K21" s="15" t="s">
        <v>182</v>
      </c>
      <c r="L21" s="15" t="s">
        <v>193</v>
      </c>
      <c r="M21" s="16">
        <v>5</v>
      </c>
      <c r="N21" s="15" t="s">
        <v>61</v>
      </c>
    </row>
    <row r="22" spans="1:14" ht="24" customHeight="1">
      <c r="A22" s="88"/>
      <c r="B22" s="88"/>
      <c r="C22" s="88"/>
      <c r="D22" s="88"/>
      <c r="E22" s="88"/>
      <c r="F22" s="88"/>
      <c r="G22" s="88"/>
      <c r="H22" s="88"/>
      <c r="J22" s="15" t="s">
        <v>194</v>
      </c>
      <c r="K22" s="15" t="s">
        <v>182</v>
      </c>
      <c r="L22" s="15" t="s">
        <v>42</v>
      </c>
      <c r="M22" s="16">
        <v>2</v>
      </c>
      <c r="N22" s="15" t="s">
        <v>69</v>
      </c>
    </row>
    <row r="23" spans="1:14" ht="24" customHeight="1">
      <c r="A23" s="88"/>
      <c r="B23" s="88"/>
      <c r="C23" s="88"/>
      <c r="D23" s="88"/>
      <c r="E23" s="88"/>
      <c r="F23" s="88"/>
      <c r="G23" s="88"/>
      <c r="H23" s="88"/>
      <c r="J23" s="15" t="s">
        <v>195</v>
      </c>
      <c r="K23" s="15" t="s">
        <v>182</v>
      </c>
      <c r="L23" s="15" t="s">
        <v>196</v>
      </c>
      <c r="M23" s="16">
        <v>6</v>
      </c>
      <c r="N23" s="15" t="s">
        <v>81</v>
      </c>
    </row>
    <row r="24" spans="1:14">
      <c r="J24" s="15" t="s">
        <v>197</v>
      </c>
      <c r="K24" s="15" t="s">
        <v>182</v>
      </c>
      <c r="L24" s="15" t="s">
        <v>198</v>
      </c>
      <c r="M24" s="16">
        <v>6</v>
      </c>
      <c r="N24" s="15" t="s">
        <v>81</v>
      </c>
    </row>
    <row r="25" spans="1:14">
      <c r="J25" s="15" t="s">
        <v>199</v>
      </c>
      <c r="K25" s="15" t="s">
        <v>182</v>
      </c>
      <c r="L25" s="15" t="s">
        <v>200</v>
      </c>
      <c r="M25" s="16">
        <v>6</v>
      </c>
      <c r="N25" s="15" t="s">
        <v>81</v>
      </c>
    </row>
    <row r="26" spans="1:14">
      <c r="J26" s="15" t="s">
        <v>201</v>
      </c>
      <c r="K26" s="15" t="s">
        <v>202</v>
      </c>
      <c r="L26" s="15" t="s">
        <v>203</v>
      </c>
      <c r="M26" s="16">
        <v>4</v>
      </c>
      <c r="N26" s="15" t="s">
        <v>93</v>
      </c>
    </row>
    <row r="27" spans="1:14">
      <c r="J27" s="15" t="s">
        <v>204</v>
      </c>
      <c r="K27" s="15" t="s">
        <v>202</v>
      </c>
      <c r="L27" s="15" t="s">
        <v>205</v>
      </c>
      <c r="M27" s="16">
        <v>5</v>
      </c>
      <c r="N27" s="15" t="s">
        <v>61</v>
      </c>
    </row>
    <row r="28" spans="1:14">
      <c r="J28" s="15" t="s">
        <v>206</v>
      </c>
      <c r="K28" s="15" t="s">
        <v>202</v>
      </c>
      <c r="L28" s="15" t="s">
        <v>207</v>
      </c>
      <c r="M28" s="16">
        <v>3</v>
      </c>
      <c r="N28" s="15" t="s">
        <v>65</v>
      </c>
    </row>
    <row r="29" spans="1:14">
      <c r="J29" s="15" t="s">
        <v>208</v>
      </c>
      <c r="K29" s="15" t="s">
        <v>202</v>
      </c>
      <c r="L29" s="15" t="s">
        <v>209</v>
      </c>
      <c r="M29" s="16">
        <v>4</v>
      </c>
      <c r="N29" s="15" t="s">
        <v>93</v>
      </c>
    </row>
    <row r="30" spans="1:14">
      <c r="J30" s="15" t="s">
        <v>210</v>
      </c>
      <c r="K30" s="15" t="s">
        <v>202</v>
      </c>
      <c r="L30" s="15" t="s">
        <v>211</v>
      </c>
      <c r="M30" s="16">
        <v>5</v>
      </c>
      <c r="N30" s="15" t="s">
        <v>61</v>
      </c>
    </row>
    <row r="31" spans="1:14">
      <c r="J31" s="15" t="s">
        <v>212</v>
      </c>
      <c r="K31" s="15" t="s">
        <v>202</v>
      </c>
      <c r="L31" s="15" t="s">
        <v>213</v>
      </c>
      <c r="M31" s="16">
        <v>3</v>
      </c>
      <c r="N31" s="15" t="s">
        <v>65</v>
      </c>
    </row>
    <row r="32" spans="1:14">
      <c r="J32" s="15" t="s">
        <v>214</v>
      </c>
      <c r="K32" s="15" t="s">
        <v>202</v>
      </c>
      <c r="L32" s="15" t="s">
        <v>215</v>
      </c>
      <c r="M32" s="16">
        <v>3</v>
      </c>
      <c r="N32" s="15" t="s">
        <v>65</v>
      </c>
    </row>
    <row r="33" spans="10:14">
      <c r="J33" s="15" t="s">
        <v>216</v>
      </c>
      <c r="K33" s="15" t="s">
        <v>202</v>
      </c>
      <c r="L33" s="15" t="s">
        <v>217</v>
      </c>
      <c r="M33" s="16">
        <v>4</v>
      </c>
      <c r="N33" s="15" t="s">
        <v>93</v>
      </c>
    </row>
    <row r="34" spans="10:14">
      <c r="J34" s="15" t="s">
        <v>218</v>
      </c>
      <c r="K34" s="15" t="s">
        <v>202</v>
      </c>
      <c r="L34" s="15" t="s">
        <v>219</v>
      </c>
      <c r="M34" s="16">
        <v>5</v>
      </c>
      <c r="N34" s="15" t="s">
        <v>61</v>
      </c>
    </row>
    <row r="35" spans="10:14">
      <c r="J35" s="15" t="s">
        <v>220</v>
      </c>
      <c r="K35" s="15" t="s">
        <v>202</v>
      </c>
      <c r="L35" s="15" t="s">
        <v>221</v>
      </c>
      <c r="M35" s="16">
        <v>5</v>
      </c>
      <c r="N35" s="15" t="s">
        <v>61</v>
      </c>
    </row>
    <row r="36" spans="10:14">
      <c r="J36" s="15" t="s">
        <v>222</v>
      </c>
      <c r="K36" s="15" t="s">
        <v>202</v>
      </c>
      <c r="L36" s="15" t="s">
        <v>223</v>
      </c>
      <c r="M36" s="16">
        <v>5</v>
      </c>
      <c r="N36" s="15" t="s">
        <v>61</v>
      </c>
    </row>
    <row r="37" spans="10:14">
      <c r="J37" s="15" t="s">
        <v>224</v>
      </c>
      <c r="K37" s="15" t="s">
        <v>202</v>
      </c>
      <c r="L37" s="15" t="s">
        <v>225</v>
      </c>
      <c r="M37" s="16">
        <v>4</v>
      </c>
      <c r="N37" s="15" t="s">
        <v>93</v>
      </c>
    </row>
    <row r="38" spans="10:14">
      <c r="J38" s="15" t="s">
        <v>226</v>
      </c>
      <c r="K38" s="15" t="s">
        <v>202</v>
      </c>
      <c r="L38" s="15" t="s">
        <v>227</v>
      </c>
      <c r="M38" s="16">
        <v>5</v>
      </c>
      <c r="N38" s="15" t="s">
        <v>61</v>
      </c>
    </row>
    <row r="39" spans="10:14">
      <c r="J39" s="15" t="s">
        <v>228</v>
      </c>
      <c r="K39" s="15" t="s">
        <v>202</v>
      </c>
      <c r="L39" s="15" t="s">
        <v>42</v>
      </c>
      <c r="M39" s="16">
        <v>2</v>
      </c>
      <c r="N39" s="15" t="s">
        <v>69</v>
      </c>
    </row>
    <row r="40" spans="10:14">
      <c r="J40" s="15" t="s">
        <v>229</v>
      </c>
      <c r="K40" s="15" t="s">
        <v>202</v>
      </c>
      <c r="L40" s="15" t="s">
        <v>230</v>
      </c>
      <c r="M40" s="16">
        <v>3</v>
      </c>
      <c r="N40" s="15" t="s">
        <v>65</v>
      </c>
    </row>
    <row r="41" spans="10:14">
      <c r="J41" s="15" t="s">
        <v>231</v>
      </c>
      <c r="K41" s="15" t="s">
        <v>202</v>
      </c>
      <c r="L41" s="15" t="s">
        <v>232</v>
      </c>
      <c r="M41" s="16">
        <v>5</v>
      </c>
      <c r="N41" s="15" t="s">
        <v>61</v>
      </c>
    </row>
    <row r="42" spans="10:14">
      <c r="J42" s="15" t="s">
        <v>233</v>
      </c>
      <c r="K42" s="15" t="s">
        <v>202</v>
      </c>
      <c r="L42" s="15" t="s">
        <v>234</v>
      </c>
      <c r="M42" s="16">
        <v>4</v>
      </c>
      <c r="N42" s="15" t="s">
        <v>93</v>
      </c>
    </row>
    <row r="43" spans="10:14">
      <c r="J43" s="15" t="s">
        <v>235</v>
      </c>
      <c r="K43" s="15" t="s">
        <v>202</v>
      </c>
      <c r="L43" s="15" t="s">
        <v>236</v>
      </c>
      <c r="M43" s="16">
        <v>4</v>
      </c>
      <c r="N43" s="15" t="s">
        <v>93</v>
      </c>
    </row>
    <row r="44" spans="10:14">
      <c r="J44" s="15" t="s">
        <v>237</v>
      </c>
      <c r="K44" s="15" t="s">
        <v>238</v>
      </c>
      <c r="L44" s="15" t="s">
        <v>239</v>
      </c>
      <c r="M44" s="16">
        <v>6</v>
      </c>
      <c r="N44" s="15" t="s">
        <v>81</v>
      </c>
    </row>
    <row r="45" spans="10:14">
      <c r="J45" s="15" t="s">
        <v>240</v>
      </c>
      <c r="K45" s="15" t="s">
        <v>238</v>
      </c>
      <c r="L45" s="15" t="s">
        <v>241</v>
      </c>
      <c r="M45" s="16">
        <v>5</v>
      </c>
      <c r="N45" s="15" t="s">
        <v>61</v>
      </c>
    </row>
    <row r="46" spans="10:14">
      <c r="J46" s="15" t="s">
        <v>242</v>
      </c>
      <c r="K46" s="15" t="s">
        <v>238</v>
      </c>
      <c r="L46" s="15" t="s">
        <v>243</v>
      </c>
      <c r="M46" s="16">
        <v>6</v>
      </c>
      <c r="N46" s="15" t="s">
        <v>81</v>
      </c>
    </row>
    <row r="47" spans="10:14">
      <c r="J47" s="15" t="s">
        <v>244</v>
      </c>
      <c r="K47" s="15" t="s">
        <v>238</v>
      </c>
      <c r="L47" s="15" t="s">
        <v>245</v>
      </c>
      <c r="M47" s="16">
        <v>6</v>
      </c>
      <c r="N47" s="15" t="s">
        <v>81</v>
      </c>
    </row>
    <row r="48" spans="10:14">
      <c r="J48" s="15" t="s">
        <v>246</v>
      </c>
      <c r="K48" s="15" t="s">
        <v>238</v>
      </c>
      <c r="L48" s="15" t="s">
        <v>42</v>
      </c>
      <c r="M48" s="16">
        <v>4</v>
      </c>
      <c r="N48" s="15" t="s">
        <v>93</v>
      </c>
    </row>
    <row r="49" spans="10:14">
      <c r="J49" s="15" t="s">
        <v>247</v>
      </c>
      <c r="K49" s="15" t="s">
        <v>238</v>
      </c>
      <c r="L49" s="15" t="s">
        <v>248</v>
      </c>
      <c r="M49" s="16">
        <v>6</v>
      </c>
      <c r="N49" s="15" t="s">
        <v>81</v>
      </c>
    </row>
    <row r="50" spans="10:14">
      <c r="J50" s="15" t="s">
        <v>249</v>
      </c>
      <c r="K50" s="15" t="s">
        <v>238</v>
      </c>
      <c r="L50" s="15" t="s">
        <v>250</v>
      </c>
      <c r="M50" s="16">
        <v>6</v>
      </c>
      <c r="N50" s="15" t="s">
        <v>81</v>
      </c>
    </row>
    <row r="51" spans="10:14">
      <c r="J51" s="15" t="s">
        <v>251</v>
      </c>
      <c r="K51" s="15" t="s">
        <v>238</v>
      </c>
      <c r="L51" s="15" t="s">
        <v>252</v>
      </c>
      <c r="M51" s="16">
        <v>6</v>
      </c>
      <c r="N51" s="15" t="s">
        <v>81</v>
      </c>
    </row>
    <row r="52" spans="10:14">
      <c r="J52" s="15" t="s">
        <v>253</v>
      </c>
      <c r="K52" s="15" t="s">
        <v>254</v>
      </c>
      <c r="L52" s="15" t="s">
        <v>255</v>
      </c>
      <c r="M52" s="16">
        <v>5</v>
      </c>
      <c r="N52" s="15" t="s">
        <v>61</v>
      </c>
    </row>
    <row r="53" spans="10:14">
      <c r="J53" s="15" t="s">
        <v>256</v>
      </c>
      <c r="K53" s="15" t="s">
        <v>254</v>
      </c>
      <c r="L53" s="15" t="s">
        <v>257</v>
      </c>
      <c r="M53" s="16">
        <v>5</v>
      </c>
      <c r="N53" s="15" t="s">
        <v>61</v>
      </c>
    </row>
    <row r="54" spans="10:14">
      <c r="J54" s="15" t="s">
        <v>258</v>
      </c>
      <c r="K54" s="15" t="s">
        <v>254</v>
      </c>
      <c r="L54" s="15" t="s">
        <v>259</v>
      </c>
      <c r="M54" s="16">
        <v>5</v>
      </c>
      <c r="N54" s="15" t="s">
        <v>61</v>
      </c>
    </row>
    <row r="55" spans="10:14">
      <c r="J55" s="15" t="s">
        <v>260</v>
      </c>
      <c r="K55" s="15" t="s">
        <v>254</v>
      </c>
      <c r="L55" s="15" t="s">
        <v>261</v>
      </c>
      <c r="M55" s="16">
        <v>5</v>
      </c>
      <c r="N55" s="15" t="s">
        <v>61</v>
      </c>
    </row>
    <row r="56" spans="10:14">
      <c r="J56" s="15" t="s">
        <v>262</v>
      </c>
      <c r="K56" s="15" t="s">
        <v>254</v>
      </c>
      <c r="L56" s="15" t="s">
        <v>42</v>
      </c>
      <c r="M56" s="16">
        <v>2</v>
      </c>
      <c r="N56" s="15" t="s">
        <v>69</v>
      </c>
    </row>
    <row r="57" spans="10:14">
      <c r="J57" s="15" t="s">
        <v>263</v>
      </c>
      <c r="K57" s="15" t="s">
        <v>254</v>
      </c>
      <c r="L57" s="15" t="s">
        <v>264</v>
      </c>
      <c r="M57" s="16">
        <v>4</v>
      </c>
      <c r="N57" s="15" t="s">
        <v>93</v>
      </c>
    </row>
    <row r="58" spans="10:14">
      <c r="J58" s="15" t="s">
        <v>265</v>
      </c>
      <c r="K58" s="15" t="s">
        <v>254</v>
      </c>
      <c r="L58" s="15" t="s">
        <v>266</v>
      </c>
      <c r="M58" s="16">
        <v>4</v>
      </c>
      <c r="N58" s="15" t="s">
        <v>93</v>
      </c>
    </row>
    <row r="59" spans="10:14">
      <c r="J59" s="15" t="s">
        <v>267</v>
      </c>
      <c r="K59" s="15" t="s">
        <v>254</v>
      </c>
      <c r="L59" s="15" t="s">
        <v>268</v>
      </c>
      <c r="M59" s="16">
        <v>5</v>
      </c>
      <c r="N59" s="15" t="s">
        <v>61</v>
      </c>
    </row>
    <row r="60" spans="10:14">
      <c r="J60" s="15" t="s">
        <v>269</v>
      </c>
      <c r="K60" s="15" t="s">
        <v>270</v>
      </c>
      <c r="L60" s="15" t="s">
        <v>271</v>
      </c>
      <c r="M60" s="16">
        <v>5</v>
      </c>
      <c r="N60" s="15" t="s">
        <v>61</v>
      </c>
    </row>
    <row r="61" spans="10:14">
      <c r="J61" s="15" t="s">
        <v>272</v>
      </c>
      <c r="K61" s="15" t="s">
        <v>270</v>
      </c>
      <c r="L61" s="15" t="s">
        <v>273</v>
      </c>
      <c r="M61" s="16">
        <v>4</v>
      </c>
      <c r="N61" s="15" t="s">
        <v>93</v>
      </c>
    </row>
    <row r="62" spans="10:14">
      <c r="J62" s="15" t="s">
        <v>274</v>
      </c>
      <c r="K62" s="15" t="s">
        <v>270</v>
      </c>
      <c r="L62" s="15" t="s">
        <v>275</v>
      </c>
      <c r="M62" s="16">
        <v>5</v>
      </c>
      <c r="N62" s="15" t="s">
        <v>61</v>
      </c>
    </row>
    <row r="63" spans="10:14">
      <c r="J63" s="15" t="s">
        <v>276</v>
      </c>
      <c r="K63" s="15" t="s">
        <v>270</v>
      </c>
      <c r="L63" s="15" t="s">
        <v>42</v>
      </c>
      <c r="M63" s="16">
        <v>2</v>
      </c>
      <c r="N63" s="15" t="s">
        <v>69</v>
      </c>
    </row>
    <row r="64" spans="10:14">
      <c r="J64" s="15" t="s">
        <v>277</v>
      </c>
      <c r="K64" s="15" t="s">
        <v>270</v>
      </c>
      <c r="L64" s="15" t="s">
        <v>278</v>
      </c>
      <c r="M64" s="16">
        <v>2</v>
      </c>
      <c r="N64" s="15" t="s">
        <v>69</v>
      </c>
    </row>
    <row r="65" spans="10:14">
      <c r="J65" s="15" t="s">
        <v>279</v>
      </c>
      <c r="K65" s="15" t="s">
        <v>270</v>
      </c>
      <c r="L65" s="15" t="s">
        <v>280</v>
      </c>
      <c r="M65" s="16">
        <v>3</v>
      </c>
      <c r="N65" s="15" t="s">
        <v>65</v>
      </c>
    </row>
    <row r="66" spans="10:14">
      <c r="J66" s="15" t="s">
        <v>281</v>
      </c>
      <c r="K66" s="15" t="s">
        <v>270</v>
      </c>
      <c r="L66" s="15" t="s">
        <v>282</v>
      </c>
      <c r="M66" s="16">
        <v>4</v>
      </c>
      <c r="N66" s="15" t="s">
        <v>93</v>
      </c>
    </row>
    <row r="67" spans="10:14">
      <c r="J67" s="15" t="s">
        <v>283</v>
      </c>
      <c r="K67" s="15" t="s">
        <v>284</v>
      </c>
      <c r="L67" s="15" t="s">
        <v>285</v>
      </c>
      <c r="M67" s="16">
        <v>2</v>
      </c>
      <c r="N67" s="15" t="s">
        <v>69</v>
      </c>
    </row>
    <row r="68" spans="10:14">
      <c r="J68" s="15" t="s">
        <v>286</v>
      </c>
      <c r="K68" s="15" t="s">
        <v>284</v>
      </c>
      <c r="L68" s="15" t="s">
        <v>287</v>
      </c>
      <c r="M68" s="16">
        <v>1</v>
      </c>
      <c r="N68" s="15" t="s">
        <v>150</v>
      </c>
    </row>
    <row r="69" spans="10:14">
      <c r="J69" s="15" t="s">
        <v>288</v>
      </c>
      <c r="K69" s="15" t="s">
        <v>284</v>
      </c>
      <c r="L69" s="15" t="s">
        <v>289</v>
      </c>
      <c r="M69" s="16">
        <v>3</v>
      </c>
      <c r="N69" s="15" t="s">
        <v>65</v>
      </c>
    </row>
    <row r="70" spans="10:14">
      <c r="J70" s="15" t="s">
        <v>290</v>
      </c>
      <c r="K70" s="15" t="s">
        <v>284</v>
      </c>
      <c r="L70" s="15" t="s">
        <v>291</v>
      </c>
      <c r="M70" s="16">
        <v>5</v>
      </c>
      <c r="N70" s="15" t="s">
        <v>61</v>
      </c>
    </row>
    <row r="71" spans="10:14">
      <c r="J71" s="15" t="s">
        <v>292</v>
      </c>
      <c r="K71" s="15" t="s">
        <v>284</v>
      </c>
      <c r="L71" s="15" t="s">
        <v>293</v>
      </c>
      <c r="M71" s="16">
        <v>3</v>
      </c>
      <c r="N71" s="15" t="s">
        <v>65</v>
      </c>
    </row>
    <row r="72" spans="10:14">
      <c r="J72" s="15" t="s">
        <v>294</v>
      </c>
      <c r="K72" s="15" t="s">
        <v>284</v>
      </c>
      <c r="L72" s="15" t="s">
        <v>295</v>
      </c>
      <c r="M72" s="16">
        <v>5</v>
      </c>
      <c r="N72" s="15" t="s">
        <v>61</v>
      </c>
    </row>
    <row r="73" spans="10:14">
      <c r="J73" s="15" t="s">
        <v>296</v>
      </c>
      <c r="K73" s="15" t="s">
        <v>284</v>
      </c>
      <c r="L73" s="15" t="s">
        <v>297</v>
      </c>
      <c r="M73" s="16">
        <v>1</v>
      </c>
      <c r="N73" s="15" t="s">
        <v>150</v>
      </c>
    </row>
    <row r="74" spans="10:14">
      <c r="J74" s="15" t="s">
        <v>298</v>
      </c>
      <c r="K74" s="15" t="s">
        <v>284</v>
      </c>
      <c r="L74" s="15" t="s">
        <v>299</v>
      </c>
      <c r="M74" s="16">
        <v>3</v>
      </c>
      <c r="N74" s="15" t="s">
        <v>65</v>
      </c>
    </row>
    <row r="75" spans="10:14">
      <c r="J75" s="15" t="s">
        <v>300</v>
      </c>
      <c r="K75" s="15" t="s">
        <v>284</v>
      </c>
      <c r="L75" s="15" t="s">
        <v>301</v>
      </c>
      <c r="M75" s="16">
        <v>2</v>
      </c>
      <c r="N75" s="15" t="s">
        <v>69</v>
      </c>
    </row>
    <row r="76" spans="10:14">
      <c r="J76" s="15" t="s">
        <v>302</v>
      </c>
      <c r="K76" s="15" t="s">
        <v>284</v>
      </c>
      <c r="L76" s="15" t="s">
        <v>303</v>
      </c>
      <c r="M76" s="16">
        <v>1</v>
      </c>
      <c r="N76" s="15" t="s">
        <v>150</v>
      </c>
    </row>
    <row r="77" spans="10:14">
      <c r="J77" s="15" t="s">
        <v>304</v>
      </c>
      <c r="K77" s="15" t="s">
        <v>284</v>
      </c>
      <c r="L77" s="15" t="s">
        <v>305</v>
      </c>
      <c r="M77" s="16">
        <v>4</v>
      </c>
      <c r="N77" s="15" t="s">
        <v>93</v>
      </c>
    </row>
    <row r="78" spans="10:14">
      <c r="J78" s="15" t="s">
        <v>306</v>
      </c>
      <c r="K78" s="15" t="s">
        <v>284</v>
      </c>
      <c r="L78" s="15" t="s">
        <v>190</v>
      </c>
      <c r="M78" s="16">
        <v>1</v>
      </c>
      <c r="N78" s="15" t="s">
        <v>150</v>
      </c>
    </row>
    <row r="79" spans="10:14">
      <c r="J79" s="15" t="s">
        <v>307</v>
      </c>
      <c r="K79" s="15" t="s">
        <v>284</v>
      </c>
      <c r="L79" s="15" t="s">
        <v>308</v>
      </c>
      <c r="M79" s="16">
        <v>4</v>
      </c>
      <c r="N79" s="15" t="s">
        <v>93</v>
      </c>
    </row>
    <row r="80" spans="10:14">
      <c r="J80" s="15" t="s">
        <v>309</v>
      </c>
      <c r="K80" s="15" t="s">
        <v>284</v>
      </c>
      <c r="L80" s="15" t="s">
        <v>310</v>
      </c>
      <c r="M80" s="16">
        <v>5</v>
      </c>
      <c r="N80" s="15" t="s">
        <v>61</v>
      </c>
    </row>
    <row r="81" spans="10:14">
      <c r="J81" s="15" t="s">
        <v>311</v>
      </c>
      <c r="K81" s="15" t="s">
        <v>284</v>
      </c>
      <c r="L81" s="15" t="s">
        <v>312</v>
      </c>
      <c r="M81" s="16">
        <v>2</v>
      </c>
      <c r="N81" s="15" t="s">
        <v>69</v>
      </c>
    </row>
    <row r="82" spans="10:14">
      <c r="J82" s="15" t="s">
        <v>313</v>
      </c>
      <c r="K82" s="15" t="s">
        <v>284</v>
      </c>
      <c r="L82" s="15" t="s">
        <v>314</v>
      </c>
      <c r="M82" s="16">
        <v>4</v>
      </c>
      <c r="N82" s="15" t="s">
        <v>93</v>
      </c>
    </row>
    <row r="83" spans="10:14">
      <c r="J83" s="15" t="s">
        <v>315</v>
      </c>
      <c r="K83" s="15" t="s">
        <v>284</v>
      </c>
      <c r="L83" s="15" t="s">
        <v>316</v>
      </c>
      <c r="M83" s="16">
        <v>2</v>
      </c>
      <c r="N83" s="15" t="s">
        <v>69</v>
      </c>
    </row>
    <row r="84" spans="10:14">
      <c r="J84" s="15" t="s">
        <v>317</v>
      </c>
      <c r="K84" s="15" t="s">
        <v>284</v>
      </c>
      <c r="L84" s="15" t="s">
        <v>318</v>
      </c>
      <c r="M84" s="16">
        <v>3</v>
      </c>
      <c r="N84" s="15" t="s">
        <v>65</v>
      </c>
    </row>
    <row r="85" spans="10:14">
      <c r="J85" s="15" t="s">
        <v>319</v>
      </c>
      <c r="K85" s="15" t="s">
        <v>284</v>
      </c>
      <c r="L85" s="15" t="s">
        <v>320</v>
      </c>
      <c r="M85" s="16">
        <v>2</v>
      </c>
      <c r="N85" s="15" t="s">
        <v>69</v>
      </c>
    </row>
    <row r="86" spans="10:14">
      <c r="J86" s="15" t="s">
        <v>321</v>
      </c>
      <c r="K86" s="15" t="s">
        <v>284</v>
      </c>
      <c r="L86" s="15" t="s">
        <v>322</v>
      </c>
      <c r="M86" s="16">
        <v>3</v>
      </c>
      <c r="N86" s="15" t="s">
        <v>65</v>
      </c>
    </row>
    <row r="87" spans="10:14">
      <c r="J87" s="15" t="s">
        <v>323</v>
      </c>
      <c r="K87" s="15" t="s">
        <v>284</v>
      </c>
      <c r="L87" s="15" t="s">
        <v>324</v>
      </c>
      <c r="M87" s="16">
        <v>2</v>
      </c>
      <c r="N87" s="15" t="s">
        <v>69</v>
      </c>
    </row>
    <row r="88" spans="10:14">
      <c r="J88" s="15" t="s">
        <v>325</v>
      </c>
      <c r="K88" s="15" t="s">
        <v>284</v>
      </c>
      <c r="L88" s="15" t="s">
        <v>326</v>
      </c>
      <c r="M88" s="16">
        <v>2</v>
      </c>
      <c r="N88" s="15" t="s">
        <v>69</v>
      </c>
    </row>
    <row r="89" spans="10:14">
      <c r="J89" s="15" t="s">
        <v>327</v>
      </c>
      <c r="K89" s="15" t="s">
        <v>284</v>
      </c>
      <c r="L89" s="15" t="s">
        <v>328</v>
      </c>
      <c r="M89" s="16">
        <v>2</v>
      </c>
      <c r="N89" s="15" t="s">
        <v>69</v>
      </c>
    </row>
    <row r="90" spans="10:14">
      <c r="J90" s="15" t="s">
        <v>329</v>
      </c>
      <c r="K90" s="15" t="s">
        <v>284</v>
      </c>
      <c r="L90" s="15" t="s">
        <v>330</v>
      </c>
      <c r="M90" s="16">
        <v>3</v>
      </c>
      <c r="N90" s="15" t="s">
        <v>65</v>
      </c>
    </row>
    <row r="91" spans="10:14">
      <c r="J91" s="15" t="s">
        <v>331</v>
      </c>
      <c r="K91" s="15" t="s">
        <v>284</v>
      </c>
      <c r="L91" s="15" t="s">
        <v>332</v>
      </c>
      <c r="M91" s="16">
        <v>1</v>
      </c>
      <c r="N91" s="15" t="s">
        <v>150</v>
      </c>
    </row>
    <row r="92" spans="10:14">
      <c r="J92" s="15" t="s">
        <v>333</v>
      </c>
      <c r="K92" s="15" t="s">
        <v>334</v>
      </c>
      <c r="L92" s="15" t="s">
        <v>335</v>
      </c>
      <c r="M92" s="16">
        <v>4</v>
      </c>
      <c r="N92" s="15" t="s">
        <v>93</v>
      </c>
    </row>
    <row r="93" spans="10:14">
      <c r="J93" s="15" t="s">
        <v>336</v>
      </c>
      <c r="K93" s="15" t="s">
        <v>334</v>
      </c>
      <c r="L93" s="15" t="s">
        <v>337</v>
      </c>
      <c r="M93" s="16">
        <v>2</v>
      </c>
      <c r="N93" s="15" t="s">
        <v>69</v>
      </c>
    </row>
    <row r="94" spans="10:14">
      <c r="J94" s="15" t="s">
        <v>338</v>
      </c>
      <c r="K94" s="15" t="s">
        <v>334</v>
      </c>
      <c r="L94" s="15" t="s">
        <v>339</v>
      </c>
      <c r="M94" s="16">
        <v>1</v>
      </c>
      <c r="N94" s="15" t="s">
        <v>150</v>
      </c>
    </row>
    <row r="95" spans="10:14">
      <c r="J95" s="15" t="s">
        <v>340</v>
      </c>
      <c r="K95" s="15" t="s">
        <v>334</v>
      </c>
      <c r="L95" s="15" t="s">
        <v>341</v>
      </c>
      <c r="M95" s="16">
        <v>3</v>
      </c>
      <c r="N95" s="15" t="s">
        <v>65</v>
      </c>
    </row>
    <row r="96" spans="10:14">
      <c r="J96" s="15" t="s">
        <v>342</v>
      </c>
      <c r="K96" s="15" t="s">
        <v>334</v>
      </c>
      <c r="L96" s="15" t="s">
        <v>343</v>
      </c>
      <c r="M96" s="16">
        <v>2</v>
      </c>
      <c r="N96" s="15" t="s">
        <v>69</v>
      </c>
    </row>
    <row r="97" spans="10:14">
      <c r="J97" s="15" t="s">
        <v>344</v>
      </c>
      <c r="K97" s="15" t="s">
        <v>334</v>
      </c>
      <c r="L97" s="15" t="s">
        <v>345</v>
      </c>
      <c r="M97" s="16">
        <v>3</v>
      </c>
      <c r="N97" s="15" t="s">
        <v>65</v>
      </c>
    </row>
    <row r="98" spans="10:14">
      <c r="J98" s="15" t="s">
        <v>346</v>
      </c>
      <c r="K98" s="15" t="s">
        <v>334</v>
      </c>
      <c r="L98" s="15" t="s">
        <v>347</v>
      </c>
      <c r="M98" s="16">
        <v>3</v>
      </c>
      <c r="N98" s="15" t="s">
        <v>65</v>
      </c>
    </row>
    <row r="99" spans="10:14">
      <c r="J99" s="15" t="s">
        <v>348</v>
      </c>
      <c r="K99" s="15" t="s">
        <v>334</v>
      </c>
      <c r="L99" s="15" t="s">
        <v>349</v>
      </c>
      <c r="M99" s="16">
        <v>3</v>
      </c>
      <c r="N99" s="15" t="s">
        <v>65</v>
      </c>
    </row>
    <row r="100" spans="10:14">
      <c r="J100" s="15" t="s">
        <v>350</v>
      </c>
      <c r="K100" s="15" t="s">
        <v>334</v>
      </c>
      <c r="L100" s="15" t="s">
        <v>351</v>
      </c>
      <c r="M100" s="16">
        <v>5</v>
      </c>
      <c r="N100" s="15" t="s">
        <v>61</v>
      </c>
    </row>
    <row r="101" spans="10:14">
      <c r="J101" s="15" t="s">
        <v>352</v>
      </c>
      <c r="K101" s="15" t="s">
        <v>334</v>
      </c>
      <c r="L101" s="15" t="s">
        <v>353</v>
      </c>
      <c r="M101" s="16">
        <v>4</v>
      </c>
      <c r="N101" s="15" t="s">
        <v>93</v>
      </c>
    </row>
    <row r="102" spans="10:14">
      <c r="J102" s="15" t="s">
        <v>354</v>
      </c>
      <c r="K102" s="15" t="s">
        <v>334</v>
      </c>
      <c r="L102" s="15" t="s">
        <v>355</v>
      </c>
      <c r="M102" s="16">
        <v>3</v>
      </c>
      <c r="N102" s="15" t="s">
        <v>65</v>
      </c>
    </row>
    <row r="103" spans="10:14">
      <c r="J103" s="15" t="s">
        <v>356</v>
      </c>
      <c r="K103" s="15" t="s">
        <v>334</v>
      </c>
      <c r="L103" s="15" t="s">
        <v>357</v>
      </c>
      <c r="M103" s="16">
        <v>2</v>
      </c>
      <c r="N103" s="15" t="s">
        <v>69</v>
      </c>
    </row>
    <row r="104" spans="10:14">
      <c r="J104" s="15" t="s">
        <v>358</v>
      </c>
      <c r="K104" s="15" t="s">
        <v>334</v>
      </c>
      <c r="L104" s="15" t="s">
        <v>359</v>
      </c>
      <c r="M104" s="16">
        <v>2</v>
      </c>
      <c r="N104" s="15" t="s">
        <v>69</v>
      </c>
    </row>
    <row r="105" spans="10:14">
      <c r="J105" s="15" t="s">
        <v>360</v>
      </c>
      <c r="K105" s="15" t="s">
        <v>334</v>
      </c>
      <c r="L105" s="15" t="s">
        <v>361</v>
      </c>
      <c r="M105" s="16">
        <v>1</v>
      </c>
      <c r="N105" s="15" t="s">
        <v>150</v>
      </c>
    </row>
    <row r="106" spans="10:14">
      <c r="J106" s="15" t="s">
        <v>362</v>
      </c>
      <c r="K106" s="15" t="s">
        <v>334</v>
      </c>
      <c r="L106" s="15" t="s">
        <v>363</v>
      </c>
      <c r="M106" s="16">
        <v>3</v>
      </c>
      <c r="N106" s="15" t="s">
        <v>65</v>
      </c>
    </row>
    <row r="107" spans="10:14">
      <c r="J107" s="15" t="s">
        <v>364</v>
      </c>
      <c r="K107" s="15" t="s">
        <v>334</v>
      </c>
      <c r="L107" s="15" t="s">
        <v>365</v>
      </c>
      <c r="M107" s="16">
        <v>2</v>
      </c>
      <c r="N107" s="15" t="s">
        <v>69</v>
      </c>
    </row>
    <row r="108" spans="10:14">
      <c r="J108" s="15" t="s">
        <v>366</v>
      </c>
      <c r="K108" s="15" t="s">
        <v>334</v>
      </c>
      <c r="L108" s="15" t="s">
        <v>367</v>
      </c>
      <c r="M108" s="16">
        <v>2</v>
      </c>
      <c r="N108" s="15" t="s">
        <v>69</v>
      </c>
    </row>
    <row r="109" spans="10:14">
      <c r="J109" s="15" t="s">
        <v>368</v>
      </c>
      <c r="K109" s="15" t="s">
        <v>334</v>
      </c>
      <c r="L109" s="15" t="s">
        <v>369</v>
      </c>
      <c r="M109" s="16">
        <v>1</v>
      </c>
      <c r="N109" s="15" t="s">
        <v>150</v>
      </c>
    </row>
    <row r="110" spans="10:14">
      <c r="J110" s="15" t="s">
        <v>370</v>
      </c>
      <c r="K110" s="15" t="s">
        <v>334</v>
      </c>
      <c r="L110" s="15" t="s">
        <v>371</v>
      </c>
      <c r="M110" s="16">
        <v>2</v>
      </c>
      <c r="N110" s="15" t="s">
        <v>69</v>
      </c>
    </row>
    <row r="111" spans="10:14">
      <c r="J111" s="15" t="s">
        <v>372</v>
      </c>
      <c r="K111" s="15" t="s">
        <v>373</v>
      </c>
      <c r="L111" s="15" t="s">
        <v>374</v>
      </c>
      <c r="M111" s="16">
        <v>5</v>
      </c>
      <c r="N111" s="15" t="s">
        <v>61</v>
      </c>
    </row>
    <row r="112" spans="10:14">
      <c r="J112" s="15" t="s">
        <v>375</v>
      </c>
      <c r="K112" s="15" t="s">
        <v>373</v>
      </c>
      <c r="L112" s="15" t="s">
        <v>376</v>
      </c>
      <c r="M112" s="16">
        <v>5</v>
      </c>
      <c r="N112" s="15" t="s">
        <v>61</v>
      </c>
    </row>
    <row r="113" spans="10:14">
      <c r="J113" s="15" t="s">
        <v>377</v>
      </c>
      <c r="K113" s="15" t="s">
        <v>373</v>
      </c>
      <c r="L113" s="15" t="s">
        <v>378</v>
      </c>
      <c r="M113" s="16">
        <v>6</v>
      </c>
      <c r="N113" s="15" t="s">
        <v>81</v>
      </c>
    </row>
    <row r="114" spans="10:14">
      <c r="J114" s="15" t="s">
        <v>379</v>
      </c>
      <c r="K114" s="15" t="s">
        <v>373</v>
      </c>
      <c r="L114" s="15" t="s">
        <v>380</v>
      </c>
      <c r="M114" s="16">
        <v>6</v>
      </c>
      <c r="N114" s="15" t="s">
        <v>81</v>
      </c>
    </row>
    <row r="115" spans="10:14">
      <c r="J115" s="15" t="s">
        <v>381</v>
      </c>
      <c r="K115" s="15" t="s">
        <v>373</v>
      </c>
      <c r="L115" s="15" t="s">
        <v>42</v>
      </c>
      <c r="M115" s="16">
        <v>3</v>
      </c>
      <c r="N115" s="15" t="s">
        <v>65</v>
      </c>
    </row>
    <row r="116" spans="10:14">
      <c r="J116" s="15" t="s">
        <v>382</v>
      </c>
      <c r="K116" s="15" t="s">
        <v>373</v>
      </c>
      <c r="L116" s="15" t="s">
        <v>383</v>
      </c>
      <c r="M116" s="16">
        <v>4</v>
      </c>
      <c r="N116" s="15" t="s">
        <v>93</v>
      </c>
    </row>
    <row r="117" spans="10:14">
      <c r="J117" s="15" t="s">
        <v>384</v>
      </c>
      <c r="K117" s="15" t="s">
        <v>385</v>
      </c>
      <c r="L117" s="15" t="s">
        <v>386</v>
      </c>
      <c r="M117" s="16">
        <v>4</v>
      </c>
      <c r="N117" s="15" t="s">
        <v>93</v>
      </c>
    </row>
    <row r="118" spans="10:14">
      <c r="J118" s="15" t="s">
        <v>387</v>
      </c>
      <c r="K118" s="15" t="s">
        <v>385</v>
      </c>
      <c r="L118" s="15" t="s">
        <v>388</v>
      </c>
      <c r="M118" s="16">
        <v>3</v>
      </c>
      <c r="N118" s="15" t="s">
        <v>65</v>
      </c>
    </row>
    <row r="119" spans="10:14">
      <c r="J119" s="15" t="s">
        <v>389</v>
      </c>
      <c r="K119" s="15" t="s">
        <v>385</v>
      </c>
      <c r="L119" s="15" t="s">
        <v>390</v>
      </c>
      <c r="M119" s="16">
        <v>4</v>
      </c>
      <c r="N119" s="15" t="s">
        <v>93</v>
      </c>
    </row>
    <row r="120" spans="10:14">
      <c r="J120" s="15" t="s">
        <v>391</v>
      </c>
      <c r="K120" s="15" t="s">
        <v>385</v>
      </c>
      <c r="L120" s="15" t="s">
        <v>392</v>
      </c>
      <c r="M120" s="16">
        <v>2</v>
      </c>
      <c r="N120" s="15" t="s">
        <v>69</v>
      </c>
    </row>
    <row r="121" spans="10:14">
      <c r="J121" s="15" t="s">
        <v>393</v>
      </c>
      <c r="K121" s="15" t="s">
        <v>385</v>
      </c>
      <c r="L121" s="15" t="s">
        <v>394</v>
      </c>
      <c r="M121" s="16">
        <v>4</v>
      </c>
      <c r="N121" s="15" t="s">
        <v>93</v>
      </c>
    </row>
    <row r="122" spans="10:14">
      <c r="J122" s="15" t="s">
        <v>395</v>
      </c>
      <c r="K122" s="15" t="s">
        <v>385</v>
      </c>
      <c r="L122" s="15" t="s">
        <v>42</v>
      </c>
      <c r="M122" s="16">
        <v>2</v>
      </c>
      <c r="N122" s="15" t="s">
        <v>69</v>
      </c>
    </row>
    <row r="123" spans="10:14">
      <c r="J123" s="15" t="s">
        <v>396</v>
      </c>
      <c r="K123" s="15" t="s">
        <v>385</v>
      </c>
      <c r="L123" s="15" t="s">
        <v>397</v>
      </c>
      <c r="M123" s="16">
        <v>3</v>
      </c>
      <c r="N123" s="15" t="s">
        <v>65</v>
      </c>
    </row>
    <row r="124" spans="10:14">
      <c r="J124" s="15" t="s">
        <v>398</v>
      </c>
      <c r="K124" s="15" t="s">
        <v>385</v>
      </c>
      <c r="L124" s="15" t="s">
        <v>399</v>
      </c>
      <c r="M124" s="16">
        <v>4</v>
      </c>
      <c r="N124" s="15" t="s">
        <v>93</v>
      </c>
    </row>
    <row r="125" spans="10:14">
      <c r="J125" s="15" t="s">
        <v>400</v>
      </c>
      <c r="K125" s="15" t="s">
        <v>385</v>
      </c>
      <c r="L125" s="15" t="s">
        <v>401</v>
      </c>
      <c r="M125" s="16">
        <v>4</v>
      </c>
      <c r="N125" s="15" t="s">
        <v>93</v>
      </c>
    </row>
    <row r="126" spans="10:14">
      <c r="J126" s="15" t="s">
        <v>402</v>
      </c>
      <c r="K126" s="15" t="s">
        <v>403</v>
      </c>
      <c r="L126" s="15" t="s">
        <v>404</v>
      </c>
      <c r="M126" s="16">
        <v>5</v>
      </c>
      <c r="N126" s="15" t="s">
        <v>61</v>
      </c>
    </row>
    <row r="127" spans="10:14">
      <c r="J127" s="15" t="s">
        <v>405</v>
      </c>
      <c r="K127" s="15" t="s">
        <v>403</v>
      </c>
      <c r="L127" s="15" t="s">
        <v>406</v>
      </c>
      <c r="M127" s="16">
        <v>4</v>
      </c>
      <c r="N127" s="15" t="s">
        <v>93</v>
      </c>
    </row>
    <row r="128" spans="10:14">
      <c r="J128" s="15" t="s">
        <v>407</v>
      </c>
      <c r="K128" s="15" t="s">
        <v>403</v>
      </c>
      <c r="L128" s="15" t="s">
        <v>408</v>
      </c>
      <c r="M128" s="16">
        <v>3</v>
      </c>
      <c r="N128" s="15" t="s">
        <v>65</v>
      </c>
    </row>
    <row r="129" spans="10:14">
      <c r="J129" s="15" t="s">
        <v>409</v>
      </c>
      <c r="K129" s="15" t="s">
        <v>403</v>
      </c>
      <c r="L129" s="15" t="s">
        <v>410</v>
      </c>
      <c r="M129" s="16">
        <v>2</v>
      </c>
      <c r="N129" s="15" t="s">
        <v>69</v>
      </c>
    </row>
    <row r="130" spans="10:14">
      <c r="J130" s="15" t="s">
        <v>411</v>
      </c>
      <c r="K130" s="15" t="s">
        <v>403</v>
      </c>
      <c r="L130" s="15" t="s">
        <v>412</v>
      </c>
      <c r="M130" s="16">
        <v>2</v>
      </c>
      <c r="N130" s="15" t="s">
        <v>69</v>
      </c>
    </row>
    <row r="131" spans="10:14">
      <c r="J131" s="15" t="s">
        <v>413</v>
      </c>
      <c r="K131" s="15" t="s">
        <v>403</v>
      </c>
      <c r="L131" s="15" t="s">
        <v>414</v>
      </c>
      <c r="M131" s="16">
        <v>4</v>
      </c>
      <c r="N131" s="15" t="s">
        <v>93</v>
      </c>
    </row>
    <row r="132" spans="10:14">
      <c r="J132" s="15" t="s">
        <v>415</v>
      </c>
      <c r="K132" s="15" t="s">
        <v>403</v>
      </c>
      <c r="L132" s="15" t="s">
        <v>416</v>
      </c>
      <c r="M132" s="16">
        <v>3</v>
      </c>
      <c r="N132" s="15" t="s">
        <v>65</v>
      </c>
    </row>
    <row r="133" spans="10:14">
      <c r="J133" s="15" t="s">
        <v>417</v>
      </c>
      <c r="K133" s="15" t="s">
        <v>403</v>
      </c>
      <c r="L133" s="15" t="s">
        <v>418</v>
      </c>
      <c r="M133" s="16">
        <v>4</v>
      </c>
      <c r="N133" s="15" t="s">
        <v>93</v>
      </c>
    </row>
    <row r="134" spans="10:14">
      <c r="J134" s="15" t="s">
        <v>419</v>
      </c>
      <c r="K134" s="15" t="s">
        <v>403</v>
      </c>
      <c r="L134" s="15" t="s">
        <v>420</v>
      </c>
      <c r="M134" s="16">
        <v>5</v>
      </c>
      <c r="N134" s="15" t="s">
        <v>61</v>
      </c>
    </row>
    <row r="135" spans="10:14">
      <c r="J135" s="15" t="s">
        <v>421</v>
      </c>
      <c r="K135" s="15" t="s">
        <v>403</v>
      </c>
      <c r="L135" s="15" t="s">
        <v>422</v>
      </c>
      <c r="M135" s="16">
        <v>5</v>
      </c>
      <c r="N135" s="15" t="s">
        <v>61</v>
      </c>
    </row>
    <row r="136" spans="10:14">
      <c r="J136" s="15" t="s">
        <v>423</v>
      </c>
      <c r="K136" s="15" t="s">
        <v>403</v>
      </c>
      <c r="L136" s="15" t="s">
        <v>424</v>
      </c>
      <c r="M136" s="16">
        <v>4</v>
      </c>
      <c r="N136" s="15" t="s">
        <v>93</v>
      </c>
    </row>
    <row r="137" spans="10:14">
      <c r="J137" s="15" t="s">
        <v>425</v>
      </c>
      <c r="K137" s="15" t="s">
        <v>403</v>
      </c>
      <c r="L137" s="15" t="s">
        <v>426</v>
      </c>
      <c r="M137" s="16">
        <v>2</v>
      </c>
      <c r="N137" s="15" t="s">
        <v>69</v>
      </c>
    </row>
    <row r="138" spans="10:14">
      <c r="J138" s="15" t="s">
        <v>427</v>
      </c>
      <c r="K138" s="15" t="s">
        <v>403</v>
      </c>
      <c r="L138" s="15" t="s">
        <v>428</v>
      </c>
      <c r="M138" s="16">
        <v>4</v>
      </c>
      <c r="N138" s="15" t="s">
        <v>93</v>
      </c>
    </row>
    <row r="139" spans="10:14">
      <c r="J139" s="15" t="s">
        <v>429</v>
      </c>
      <c r="K139" s="15" t="s">
        <v>403</v>
      </c>
      <c r="L139" s="15" t="s">
        <v>430</v>
      </c>
      <c r="M139" s="16">
        <v>2</v>
      </c>
      <c r="N139" s="15" t="s">
        <v>69</v>
      </c>
    </row>
    <row r="140" spans="10:14">
      <c r="J140" s="15" t="s">
        <v>431</v>
      </c>
      <c r="K140" s="15" t="s">
        <v>403</v>
      </c>
      <c r="L140" s="15" t="s">
        <v>432</v>
      </c>
      <c r="M140" s="16">
        <v>2</v>
      </c>
      <c r="N140" s="15" t="s">
        <v>69</v>
      </c>
    </row>
    <row r="141" spans="10:14">
      <c r="J141" s="15" t="s">
        <v>433</v>
      </c>
      <c r="K141" s="15" t="s">
        <v>403</v>
      </c>
      <c r="L141" s="15" t="s">
        <v>434</v>
      </c>
      <c r="M141" s="16">
        <v>4</v>
      </c>
      <c r="N141" s="15" t="s">
        <v>93</v>
      </c>
    </row>
    <row r="142" spans="10:14">
      <c r="J142" s="15" t="s">
        <v>435</v>
      </c>
      <c r="K142" s="15" t="s">
        <v>403</v>
      </c>
      <c r="L142" s="15" t="s">
        <v>436</v>
      </c>
      <c r="M142" s="16">
        <v>4</v>
      </c>
      <c r="N142" s="15" t="s">
        <v>93</v>
      </c>
    </row>
    <row r="143" spans="10:14">
      <c r="J143" s="15" t="s">
        <v>437</v>
      </c>
      <c r="K143" s="15" t="s">
        <v>27</v>
      </c>
      <c r="L143" s="15" t="s">
        <v>438</v>
      </c>
      <c r="M143" s="16">
        <v>2</v>
      </c>
      <c r="N143" s="15" t="s">
        <v>69</v>
      </c>
    </row>
    <row r="144" spans="10:14">
      <c r="J144" s="15" t="s">
        <v>439</v>
      </c>
      <c r="K144" s="15" t="s">
        <v>27</v>
      </c>
      <c r="L144" s="15" t="s">
        <v>440</v>
      </c>
      <c r="M144" s="16">
        <v>2</v>
      </c>
      <c r="N144" s="15" t="s">
        <v>69</v>
      </c>
    </row>
    <row r="145" spans="10:14">
      <c r="J145" s="15" t="s">
        <v>441</v>
      </c>
      <c r="K145" s="15" t="s">
        <v>27</v>
      </c>
      <c r="L145" s="15" t="s">
        <v>442</v>
      </c>
      <c r="M145" s="16">
        <v>5</v>
      </c>
      <c r="N145" s="15" t="s">
        <v>61</v>
      </c>
    </row>
    <row r="146" spans="10:14">
      <c r="J146" s="15" t="s">
        <v>443</v>
      </c>
      <c r="K146" s="15" t="s">
        <v>27</v>
      </c>
      <c r="L146" s="15" t="s">
        <v>31</v>
      </c>
      <c r="M146" s="16">
        <v>2</v>
      </c>
      <c r="N146" s="15" t="s">
        <v>69</v>
      </c>
    </row>
    <row r="147" spans="10:14">
      <c r="J147" s="15" t="s">
        <v>444</v>
      </c>
      <c r="K147" s="15" t="s">
        <v>27</v>
      </c>
      <c r="L147" s="15" t="s">
        <v>445</v>
      </c>
      <c r="M147" s="16">
        <v>3</v>
      </c>
      <c r="N147" s="15" t="s">
        <v>65</v>
      </c>
    </row>
    <row r="148" spans="10:14">
      <c r="J148" s="15" t="s">
        <v>446</v>
      </c>
      <c r="K148" s="15" t="s">
        <v>27</v>
      </c>
      <c r="L148" s="15" t="s">
        <v>447</v>
      </c>
      <c r="M148" s="16">
        <v>2</v>
      </c>
      <c r="N148" s="15" t="s">
        <v>69</v>
      </c>
    </row>
    <row r="149" spans="10:14">
      <c r="J149" s="15" t="s">
        <v>448</v>
      </c>
      <c r="K149" s="15" t="s">
        <v>27</v>
      </c>
      <c r="L149" s="15" t="s">
        <v>449</v>
      </c>
      <c r="M149" s="16">
        <v>4</v>
      </c>
      <c r="N149" s="15" t="s">
        <v>93</v>
      </c>
    </row>
    <row r="150" spans="10:14">
      <c r="J150" s="15" t="s">
        <v>450</v>
      </c>
      <c r="K150" s="15" t="s">
        <v>27</v>
      </c>
      <c r="L150" s="15" t="s">
        <v>451</v>
      </c>
      <c r="M150" s="16">
        <v>2</v>
      </c>
      <c r="N150" s="15" t="s">
        <v>69</v>
      </c>
    </row>
    <row r="151" spans="10:14">
      <c r="J151" s="15" t="s">
        <v>452</v>
      </c>
      <c r="K151" s="15" t="s">
        <v>27</v>
      </c>
      <c r="L151" s="15" t="s">
        <v>453</v>
      </c>
      <c r="M151" s="16">
        <v>3</v>
      </c>
      <c r="N151" s="15" t="s">
        <v>65</v>
      </c>
    </row>
    <row r="152" spans="10:14">
      <c r="J152" s="15" t="s">
        <v>454</v>
      </c>
      <c r="K152" s="15" t="s">
        <v>27</v>
      </c>
      <c r="L152" s="15" t="s">
        <v>455</v>
      </c>
      <c r="M152" s="16">
        <v>3</v>
      </c>
      <c r="N152" s="15" t="s">
        <v>65</v>
      </c>
    </row>
    <row r="153" spans="10:14">
      <c r="J153" s="15" t="s">
        <v>456</v>
      </c>
      <c r="K153" s="15" t="s">
        <v>27</v>
      </c>
      <c r="L153" s="15" t="s">
        <v>457</v>
      </c>
      <c r="M153" s="16">
        <v>3</v>
      </c>
      <c r="N153" s="15" t="s">
        <v>65</v>
      </c>
    </row>
    <row r="154" spans="10:14">
      <c r="J154" s="15" t="s">
        <v>458</v>
      </c>
      <c r="K154" s="15" t="s">
        <v>27</v>
      </c>
      <c r="L154" s="15" t="s">
        <v>459</v>
      </c>
      <c r="M154" s="16">
        <v>4</v>
      </c>
      <c r="N154" s="15" t="s">
        <v>93</v>
      </c>
    </row>
    <row r="155" spans="10:14">
      <c r="J155" s="15" t="s">
        <v>460</v>
      </c>
      <c r="K155" s="15" t="s">
        <v>27</v>
      </c>
      <c r="L155" s="15" t="s">
        <v>461</v>
      </c>
      <c r="M155" s="16">
        <v>4</v>
      </c>
      <c r="N155" s="15" t="s">
        <v>93</v>
      </c>
    </row>
    <row r="156" spans="10:14">
      <c r="J156" s="15" t="s">
        <v>462</v>
      </c>
      <c r="K156" s="15" t="s">
        <v>27</v>
      </c>
      <c r="L156" s="15" t="s">
        <v>463</v>
      </c>
      <c r="M156" s="16">
        <v>2</v>
      </c>
      <c r="N156" s="15" t="s">
        <v>69</v>
      </c>
    </row>
    <row r="157" spans="10:14">
      <c r="J157" s="15" t="s">
        <v>464</v>
      </c>
      <c r="K157" s="15" t="s">
        <v>27</v>
      </c>
      <c r="L157" s="15" t="s">
        <v>33</v>
      </c>
      <c r="M157" s="16">
        <v>5</v>
      </c>
      <c r="N157" s="15" t="s">
        <v>61</v>
      </c>
    </row>
    <row r="158" spans="10:14">
      <c r="J158" s="15" t="s">
        <v>465</v>
      </c>
      <c r="K158" s="15" t="s">
        <v>27</v>
      </c>
      <c r="L158" s="15" t="s">
        <v>28</v>
      </c>
      <c r="M158" s="16">
        <v>4</v>
      </c>
      <c r="N158" s="15" t="s">
        <v>93</v>
      </c>
    </row>
    <row r="159" spans="10:14">
      <c r="J159" s="15" t="s">
        <v>466</v>
      </c>
      <c r="K159" s="15" t="s">
        <v>27</v>
      </c>
      <c r="L159" s="15" t="s">
        <v>467</v>
      </c>
      <c r="M159" s="16">
        <v>2</v>
      </c>
      <c r="N159" s="15" t="s">
        <v>69</v>
      </c>
    </row>
    <row r="160" spans="10:14">
      <c r="J160" s="15" t="s">
        <v>468</v>
      </c>
      <c r="K160" s="15" t="s">
        <v>27</v>
      </c>
      <c r="L160" s="15" t="s">
        <v>469</v>
      </c>
      <c r="M160" s="16">
        <v>4</v>
      </c>
      <c r="N160" s="15" t="s">
        <v>93</v>
      </c>
    </row>
    <row r="161" spans="10:14">
      <c r="J161" s="15" t="s">
        <v>470</v>
      </c>
      <c r="K161" s="15" t="s">
        <v>27</v>
      </c>
      <c r="L161" s="15" t="s">
        <v>471</v>
      </c>
      <c r="M161" s="16">
        <v>4</v>
      </c>
      <c r="N161" s="15" t="s">
        <v>93</v>
      </c>
    </row>
    <row r="162" spans="10:14">
      <c r="J162" s="15" t="s">
        <v>472</v>
      </c>
      <c r="K162" s="15" t="s">
        <v>27</v>
      </c>
      <c r="L162" s="15" t="s">
        <v>473</v>
      </c>
      <c r="M162" s="16">
        <v>3</v>
      </c>
      <c r="N162" s="15" t="s">
        <v>65</v>
      </c>
    </row>
    <row r="163" spans="10:14">
      <c r="J163" s="15" t="s">
        <v>474</v>
      </c>
      <c r="K163" s="15" t="s">
        <v>475</v>
      </c>
      <c r="L163" s="15" t="s">
        <v>476</v>
      </c>
      <c r="M163" s="16">
        <v>3</v>
      </c>
      <c r="N163" s="15" t="s">
        <v>65</v>
      </c>
    </row>
    <row r="164" spans="10:14">
      <c r="J164" s="15" t="s">
        <v>477</v>
      </c>
      <c r="K164" s="15" t="s">
        <v>475</v>
      </c>
      <c r="L164" s="15" t="s">
        <v>478</v>
      </c>
      <c r="M164" s="16">
        <v>5</v>
      </c>
      <c r="N164" s="15" t="s">
        <v>61</v>
      </c>
    </row>
    <row r="165" spans="10:14">
      <c r="J165" s="15" t="s">
        <v>479</v>
      </c>
      <c r="K165" s="15" t="s">
        <v>475</v>
      </c>
      <c r="L165" s="15" t="s">
        <v>42</v>
      </c>
      <c r="M165" s="16">
        <v>2</v>
      </c>
      <c r="N165" s="15" t="s">
        <v>69</v>
      </c>
    </row>
    <row r="166" spans="10:14">
      <c r="J166" s="15" t="s">
        <v>480</v>
      </c>
      <c r="K166" s="15" t="s">
        <v>475</v>
      </c>
      <c r="L166" s="15" t="s">
        <v>481</v>
      </c>
      <c r="M166" s="16">
        <v>5</v>
      </c>
      <c r="N166" s="15" t="s">
        <v>61</v>
      </c>
    </row>
    <row r="167" spans="10:14">
      <c r="J167" s="15" t="s">
        <v>482</v>
      </c>
      <c r="K167" s="15" t="s">
        <v>483</v>
      </c>
      <c r="L167" s="15" t="s">
        <v>484</v>
      </c>
      <c r="M167" s="16">
        <v>5</v>
      </c>
      <c r="N167" s="15" t="s">
        <v>61</v>
      </c>
    </row>
    <row r="168" spans="10:14">
      <c r="J168" s="15" t="s">
        <v>485</v>
      </c>
      <c r="K168" s="15" t="s">
        <v>483</v>
      </c>
      <c r="L168" s="15" t="s">
        <v>486</v>
      </c>
      <c r="M168" s="16">
        <v>6</v>
      </c>
      <c r="N168" s="15" t="s">
        <v>81</v>
      </c>
    </row>
    <row r="169" spans="10:14">
      <c r="J169" s="15" t="s">
        <v>487</v>
      </c>
      <c r="K169" s="15" t="s">
        <v>483</v>
      </c>
      <c r="L169" s="15" t="s">
        <v>488</v>
      </c>
      <c r="M169" s="16">
        <v>5</v>
      </c>
      <c r="N169" s="15" t="s">
        <v>61</v>
      </c>
    </row>
    <row r="170" spans="10:14">
      <c r="J170" s="15" t="s">
        <v>489</v>
      </c>
      <c r="K170" s="15" t="s">
        <v>483</v>
      </c>
      <c r="L170" s="15" t="s">
        <v>490</v>
      </c>
      <c r="M170" s="16">
        <v>6</v>
      </c>
      <c r="N170" s="15" t="s">
        <v>81</v>
      </c>
    </row>
    <row r="171" spans="10:14">
      <c r="J171" s="15" t="s">
        <v>491</v>
      </c>
      <c r="K171" s="15" t="s">
        <v>483</v>
      </c>
      <c r="L171" s="15" t="s">
        <v>42</v>
      </c>
      <c r="M171" s="16">
        <v>3</v>
      </c>
      <c r="N171" s="15" t="s">
        <v>65</v>
      </c>
    </row>
    <row r="172" spans="10:14">
      <c r="J172" s="15" t="s">
        <v>492</v>
      </c>
      <c r="K172" s="15" t="s">
        <v>483</v>
      </c>
      <c r="L172" s="15" t="s">
        <v>493</v>
      </c>
      <c r="M172" s="16">
        <v>6</v>
      </c>
      <c r="N172" s="15" t="s">
        <v>81</v>
      </c>
    </row>
    <row r="173" spans="10:14">
      <c r="J173" s="15" t="s">
        <v>494</v>
      </c>
      <c r="K173" s="15" t="s">
        <v>495</v>
      </c>
      <c r="L173" s="15" t="s">
        <v>496</v>
      </c>
      <c r="M173" s="16">
        <v>5</v>
      </c>
      <c r="N173" s="15" t="s">
        <v>61</v>
      </c>
    </row>
    <row r="174" spans="10:14">
      <c r="J174" s="15" t="s">
        <v>497</v>
      </c>
      <c r="K174" s="15" t="s">
        <v>495</v>
      </c>
      <c r="L174" s="15" t="s">
        <v>498</v>
      </c>
      <c r="M174" s="16">
        <v>5</v>
      </c>
      <c r="N174" s="15" t="s">
        <v>61</v>
      </c>
    </row>
    <row r="175" spans="10:14">
      <c r="J175" s="15" t="s">
        <v>499</v>
      </c>
      <c r="K175" s="15" t="s">
        <v>495</v>
      </c>
      <c r="L175" s="15" t="s">
        <v>42</v>
      </c>
      <c r="M175" s="16">
        <v>3</v>
      </c>
      <c r="N175" s="15" t="s">
        <v>65</v>
      </c>
    </row>
    <row r="176" spans="10:14">
      <c r="J176" s="15" t="s">
        <v>500</v>
      </c>
      <c r="K176" s="15" t="s">
        <v>501</v>
      </c>
      <c r="L176" s="15" t="s">
        <v>502</v>
      </c>
      <c r="M176" s="16">
        <v>2</v>
      </c>
      <c r="N176" s="15" t="s">
        <v>69</v>
      </c>
    </row>
    <row r="177" spans="10:14">
      <c r="J177" s="15" t="s">
        <v>503</v>
      </c>
      <c r="K177" s="15" t="s">
        <v>501</v>
      </c>
      <c r="L177" s="15" t="s">
        <v>504</v>
      </c>
      <c r="M177" s="16">
        <v>4</v>
      </c>
      <c r="N177" s="15" t="s">
        <v>93</v>
      </c>
    </row>
    <row r="178" spans="10:14">
      <c r="J178" s="15" t="s">
        <v>505</v>
      </c>
      <c r="K178" s="15" t="s">
        <v>501</v>
      </c>
      <c r="L178" s="15" t="s">
        <v>506</v>
      </c>
      <c r="M178" s="16">
        <v>4</v>
      </c>
      <c r="N178" s="15" t="s">
        <v>93</v>
      </c>
    </row>
    <row r="179" spans="10:14">
      <c r="J179" s="15" t="s">
        <v>507</v>
      </c>
      <c r="K179" s="15" t="s">
        <v>501</v>
      </c>
      <c r="L179" s="15" t="s">
        <v>42</v>
      </c>
      <c r="M179" s="16">
        <v>2</v>
      </c>
      <c r="N179" s="15" t="s">
        <v>69</v>
      </c>
    </row>
    <row r="180" spans="10:14">
      <c r="J180" s="15" t="s">
        <v>508</v>
      </c>
      <c r="K180" s="15" t="s">
        <v>501</v>
      </c>
      <c r="L180" s="15" t="s">
        <v>509</v>
      </c>
      <c r="M180" s="16">
        <v>3</v>
      </c>
      <c r="N180" s="15" t="s">
        <v>65</v>
      </c>
    </row>
    <row r="181" spans="10:14">
      <c r="J181" s="15" t="s">
        <v>510</v>
      </c>
      <c r="K181" s="15" t="s">
        <v>501</v>
      </c>
      <c r="L181" s="15" t="s">
        <v>511</v>
      </c>
      <c r="M181" s="16">
        <v>4</v>
      </c>
      <c r="N181" s="15" t="s">
        <v>93</v>
      </c>
    </row>
    <row r="182" spans="10:14">
      <c r="J182" s="15" t="s">
        <v>512</v>
      </c>
      <c r="K182" s="15" t="s">
        <v>501</v>
      </c>
      <c r="L182" s="15" t="s">
        <v>513</v>
      </c>
      <c r="M182" s="16">
        <v>3</v>
      </c>
      <c r="N182" s="15" t="s">
        <v>65</v>
      </c>
    </row>
    <row r="183" spans="10:14">
      <c r="J183" s="15" t="s">
        <v>514</v>
      </c>
      <c r="K183" s="15" t="s">
        <v>501</v>
      </c>
      <c r="L183" s="15" t="s">
        <v>436</v>
      </c>
      <c r="M183" s="16">
        <v>5</v>
      </c>
      <c r="N183" s="15" t="s">
        <v>61</v>
      </c>
    </row>
    <row r="184" spans="10:14">
      <c r="J184" s="15" t="s">
        <v>515</v>
      </c>
      <c r="K184" s="15" t="s">
        <v>516</v>
      </c>
      <c r="L184" s="15" t="s">
        <v>517</v>
      </c>
      <c r="M184" s="16">
        <v>6</v>
      </c>
      <c r="N184" s="15" t="s">
        <v>81</v>
      </c>
    </row>
    <row r="185" spans="10:14">
      <c r="J185" s="15" t="s">
        <v>518</v>
      </c>
      <c r="K185" s="15" t="s">
        <v>516</v>
      </c>
      <c r="L185" s="15" t="s">
        <v>519</v>
      </c>
      <c r="M185" s="16">
        <v>5</v>
      </c>
      <c r="N185" s="15" t="s">
        <v>61</v>
      </c>
    </row>
    <row r="186" spans="10:14">
      <c r="J186" s="15" t="s">
        <v>520</v>
      </c>
      <c r="K186" s="15" t="s">
        <v>516</v>
      </c>
      <c r="L186" s="15" t="s">
        <v>521</v>
      </c>
      <c r="M186" s="16">
        <v>6</v>
      </c>
      <c r="N186" s="15" t="s">
        <v>81</v>
      </c>
    </row>
    <row r="187" spans="10:14">
      <c r="J187" s="15" t="s">
        <v>522</v>
      </c>
      <c r="K187" s="15" t="s">
        <v>516</v>
      </c>
      <c r="L187" s="15" t="s">
        <v>523</v>
      </c>
      <c r="M187" s="16">
        <v>5</v>
      </c>
      <c r="N187" s="15" t="s">
        <v>61</v>
      </c>
    </row>
    <row r="188" spans="10:14">
      <c r="J188" s="15" t="s">
        <v>524</v>
      </c>
      <c r="K188" s="15" t="s">
        <v>516</v>
      </c>
      <c r="L188" s="15" t="s">
        <v>42</v>
      </c>
      <c r="M188" s="16">
        <v>3</v>
      </c>
      <c r="N188" s="15" t="s">
        <v>65</v>
      </c>
    </row>
    <row r="189" spans="10:14">
      <c r="J189" s="15" t="s">
        <v>525</v>
      </c>
      <c r="K189" s="15" t="s">
        <v>516</v>
      </c>
      <c r="L189" s="15" t="s">
        <v>526</v>
      </c>
      <c r="M189" s="16">
        <v>5</v>
      </c>
      <c r="N189" s="15" t="s">
        <v>61</v>
      </c>
    </row>
    <row r="190" spans="10:14">
      <c r="J190" s="15" t="s">
        <v>527</v>
      </c>
      <c r="K190" s="15" t="s">
        <v>516</v>
      </c>
      <c r="L190" s="15" t="s">
        <v>528</v>
      </c>
      <c r="M190" s="16">
        <v>4</v>
      </c>
      <c r="N190" s="15" t="s">
        <v>93</v>
      </c>
    </row>
    <row r="191" spans="10:14">
      <c r="J191" s="15" t="s">
        <v>529</v>
      </c>
      <c r="K191" s="15" t="s">
        <v>516</v>
      </c>
      <c r="L191" s="15" t="s">
        <v>530</v>
      </c>
      <c r="M191" s="16">
        <v>6</v>
      </c>
      <c r="N191" s="15" t="s">
        <v>81</v>
      </c>
    </row>
    <row r="192" spans="10:14">
      <c r="J192" s="15" t="s">
        <v>531</v>
      </c>
      <c r="K192" s="15" t="s">
        <v>532</v>
      </c>
      <c r="L192" s="15" t="s">
        <v>533</v>
      </c>
      <c r="M192" s="16">
        <v>6</v>
      </c>
      <c r="N192" s="15" t="s">
        <v>81</v>
      </c>
    </row>
    <row r="193" spans="10:14">
      <c r="J193" s="15" t="s">
        <v>534</v>
      </c>
      <c r="K193" s="15" t="s">
        <v>532</v>
      </c>
      <c r="L193" s="15" t="s">
        <v>535</v>
      </c>
      <c r="M193" s="16">
        <v>5</v>
      </c>
      <c r="N193" s="15" t="s">
        <v>61</v>
      </c>
    </row>
    <row r="194" spans="10:14">
      <c r="J194" s="15" t="s">
        <v>536</v>
      </c>
      <c r="K194" s="15" t="s">
        <v>532</v>
      </c>
      <c r="L194" s="15" t="s">
        <v>537</v>
      </c>
      <c r="M194" s="16">
        <v>6</v>
      </c>
      <c r="N194" s="15" t="s">
        <v>81</v>
      </c>
    </row>
    <row r="195" spans="10:14">
      <c r="J195" s="15" t="s">
        <v>538</v>
      </c>
      <c r="K195" s="15" t="s">
        <v>532</v>
      </c>
      <c r="L195" s="15" t="s">
        <v>539</v>
      </c>
      <c r="M195" s="16">
        <v>6</v>
      </c>
      <c r="N195" s="15" t="s">
        <v>81</v>
      </c>
    </row>
    <row r="196" spans="10:14">
      <c r="J196" s="15" t="s">
        <v>540</v>
      </c>
      <c r="K196" s="15" t="s">
        <v>532</v>
      </c>
      <c r="L196" s="15" t="s">
        <v>42</v>
      </c>
      <c r="M196" s="16">
        <v>3</v>
      </c>
      <c r="N196" s="15" t="s">
        <v>65</v>
      </c>
    </row>
    <row r="197" spans="10:14">
      <c r="J197" s="15" t="s">
        <v>541</v>
      </c>
      <c r="K197" s="15" t="s">
        <v>532</v>
      </c>
      <c r="L197" s="15" t="s">
        <v>542</v>
      </c>
      <c r="M197" s="16">
        <v>6</v>
      </c>
      <c r="N197" s="15" t="s">
        <v>81</v>
      </c>
    </row>
    <row r="198" spans="10:14">
      <c r="J198" s="15" t="s">
        <v>543</v>
      </c>
      <c r="K198" s="15" t="s">
        <v>532</v>
      </c>
      <c r="L198" s="15" t="s">
        <v>544</v>
      </c>
      <c r="M198" s="16">
        <v>3</v>
      </c>
      <c r="N198" s="15" t="s">
        <v>65</v>
      </c>
    </row>
    <row r="199" spans="10:14">
      <c r="J199" s="15" t="s">
        <v>545</v>
      </c>
      <c r="K199" s="15" t="s">
        <v>546</v>
      </c>
      <c r="L199" s="15" t="s">
        <v>547</v>
      </c>
      <c r="M199" s="16">
        <v>5</v>
      </c>
      <c r="N199" s="15" t="s">
        <v>61</v>
      </c>
    </row>
    <row r="200" spans="10:14">
      <c r="J200" s="15" t="s">
        <v>548</v>
      </c>
      <c r="K200" s="15" t="s">
        <v>546</v>
      </c>
      <c r="L200" s="15" t="s">
        <v>549</v>
      </c>
      <c r="M200" s="16">
        <v>3</v>
      </c>
      <c r="N200" s="15" t="s">
        <v>65</v>
      </c>
    </row>
    <row r="201" spans="10:14">
      <c r="J201" s="15" t="s">
        <v>550</v>
      </c>
      <c r="K201" s="15" t="s">
        <v>546</v>
      </c>
      <c r="L201" s="15" t="s">
        <v>551</v>
      </c>
      <c r="M201" s="16">
        <v>4</v>
      </c>
      <c r="N201" s="15" t="s">
        <v>93</v>
      </c>
    </row>
    <row r="202" spans="10:14">
      <c r="J202" s="15" t="s">
        <v>552</v>
      </c>
      <c r="K202" s="15" t="s">
        <v>546</v>
      </c>
      <c r="L202" s="15" t="s">
        <v>553</v>
      </c>
      <c r="M202" s="16">
        <v>5</v>
      </c>
      <c r="N202" s="15" t="s">
        <v>61</v>
      </c>
    </row>
    <row r="203" spans="10:14">
      <c r="J203" s="15" t="s">
        <v>554</v>
      </c>
      <c r="K203" s="15" t="s">
        <v>546</v>
      </c>
      <c r="L203" s="15" t="s">
        <v>555</v>
      </c>
      <c r="M203" s="16">
        <v>4</v>
      </c>
      <c r="N203" s="15" t="s">
        <v>93</v>
      </c>
    </row>
    <row r="204" spans="10:14">
      <c r="J204" s="15" t="s">
        <v>556</v>
      </c>
      <c r="K204" s="15" t="s">
        <v>546</v>
      </c>
      <c r="L204" s="15" t="s">
        <v>42</v>
      </c>
      <c r="M204" s="16">
        <v>2</v>
      </c>
      <c r="N204" s="15" t="s">
        <v>69</v>
      </c>
    </row>
    <row r="205" spans="10:14">
      <c r="J205" s="15" t="s">
        <v>557</v>
      </c>
      <c r="K205" s="15" t="s">
        <v>546</v>
      </c>
      <c r="L205" s="15" t="s">
        <v>558</v>
      </c>
      <c r="M205" s="16">
        <v>4</v>
      </c>
      <c r="N205" s="15" t="s">
        <v>93</v>
      </c>
    </row>
    <row r="206" spans="10:14">
      <c r="J206" s="15" t="s">
        <v>559</v>
      </c>
      <c r="K206" s="15" t="s">
        <v>546</v>
      </c>
      <c r="L206" s="15" t="s">
        <v>560</v>
      </c>
      <c r="M206" s="16">
        <v>4</v>
      </c>
      <c r="N206" s="15" t="s">
        <v>93</v>
      </c>
    </row>
    <row r="207" spans="10:14">
      <c r="J207" s="15" t="s">
        <v>561</v>
      </c>
      <c r="K207" s="15" t="s">
        <v>546</v>
      </c>
      <c r="L207" s="15" t="s">
        <v>562</v>
      </c>
      <c r="M207" s="16">
        <v>3</v>
      </c>
      <c r="N207" s="15" t="s">
        <v>65</v>
      </c>
    </row>
    <row r="208" spans="10:14">
      <c r="J208" s="15" t="s">
        <v>563</v>
      </c>
      <c r="K208" s="15" t="s">
        <v>564</v>
      </c>
      <c r="L208" s="15" t="s">
        <v>565</v>
      </c>
      <c r="M208" s="16">
        <v>4</v>
      </c>
      <c r="N208" s="15" t="s">
        <v>93</v>
      </c>
    </row>
    <row r="209" spans="10:14">
      <c r="J209" s="15" t="s">
        <v>566</v>
      </c>
      <c r="K209" s="15" t="s">
        <v>564</v>
      </c>
      <c r="L209" s="15" t="s">
        <v>567</v>
      </c>
      <c r="M209" s="16">
        <v>5</v>
      </c>
      <c r="N209" s="15" t="s">
        <v>61</v>
      </c>
    </row>
    <row r="210" spans="10:14">
      <c r="J210" s="15" t="s">
        <v>568</v>
      </c>
      <c r="K210" s="15" t="s">
        <v>564</v>
      </c>
      <c r="L210" s="15" t="s">
        <v>569</v>
      </c>
      <c r="M210" s="16">
        <v>2</v>
      </c>
      <c r="N210" s="15" t="s">
        <v>69</v>
      </c>
    </row>
    <row r="211" spans="10:14">
      <c r="J211" s="15" t="s">
        <v>570</v>
      </c>
      <c r="K211" s="15" t="s">
        <v>564</v>
      </c>
      <c r="L211" s="15" t="s">
        <v>571</v>
      </c>
      <c r="M211" s="16">
        <v>4</v>
      </c>
      <c r="N211" s="15" t="s">
        <v>93</v>
      </c>
    </row>
    <row r="212" spans="10:14">
      <c r="J212" s="15" t="s">
        <v>572</v>
      </c>
      <c r="K212" s="15" t="s">
        <v>564</v>
      </c>
      <c r="L212" s="15" t="s">
        <v>573</v>
      </c>
      <c r="M212" s="16">
        <v>5</v>
      </c>
      <c r="N212" s="15" t="s">
        <v>61</v>
      </c>
    </row>
    <row r="213" spans="10:14">
      <c r="J213" s="15" t="s">
        <v>574</v>
      </c>
      <c r="K213" s="15" t="s">
        <v>564</v>
      </c>
      <c r="L213" s="15" t="s">
        <v>575</v>
      </c>
      <c r="M213" s="16">
        <v>3</v>
      </c>
      <c r="N213" s="15" t="s">
        <v>65</v>
      </c>
    </row>
    <row r="214" spans="10:14">
      <c r="J214" s="15" t="s">
        <v>576</v>
      </c>
      <c r="K214" s="15" t="s">
        <v>564</v>
      </c>
      <c r="L214" s="15" t="s">
        <v>577</v>
      </c>
      <c r="M214" s="16">
        <v>3</v>
      </c>
      <c r="N214" s="15" t="s">
        <v>65</v>
      </c>
    </row>
    <row r="215" spans="10:14">
      <c r="J215" s="15" t="s">
        <v>578</v>
      </c>
      <c r="K215" s="15" t="s">
        <v>564</v>
      </c>
      <c r="L215" s="15" t="s">
        <v>357</v>
      </c>
      <c r="M215" s="16">
        <v>5</v>
      </c>
      <c r="N215" s="15" t="s">
        <v>61</v>
      </c>
    </row>
    <row r="216" spans="10:14">
      <c r="J216" s="15" t="s">
        <v>579</v>
      </c>
      <c r="K216" s="15" t="s">
        <v>564</v>
      </c>
      <c r="L216" s="15" t="s">
        <v>42</v>
      </c>
      <c r="M216" s="16">
        <v>2</v>
      </c>
      <c r="N216" s="15" t="s">
        <v>69</v>
      </c>
    </row>
    <row r="217" spans="10:14">
      <c r="J217" s="15" t="s">
        <v>580</v>
      </c>
      <c r="K217" s="15" t="s">
        <v>564</v>
      </c>
      <c r="L217" s="15" t="s">
        <v>581</v>
      </c>
      <c r="M217" s="16">
        <v>4</v>
      </c>
      <c r="N217" s="15" t="s">
        <v>93</v>
      </c>
    </row>
    <row r="218" spans="10:14">
      <c r="J218" s="15" t="s">
        <v>582</v>
      </c>
      <c r="K218" s="15" t="s">
        <v>564</v>
      </c>
      <c r="L218" s="15" t="s">
        <v>583</v>
      </c>
      <c r="M218" s="16">
        <v>4</v>
      </c>
      <c r="N218" s="15" t="s">
        <v>93</v>
      </c>
    </row>
    <row r="219" spans="10:14">
      <c r="J219" s="15" t="s">
        <v>584</v>
      </c>
      <c r="K219" s="15" t="s">
        <v>585</v>
      </c>
      <c r="L219" s="15" t="s">
        <v>586</v>
      </c>
      <c r="M219" s="16">
        <v>5</v>
      </c>
      <c r="N219" s="15" t="s">
        <v>61</v>
      </c>
    </row>
    <row r="220" spans="10:14">
      <c r="J220" s="15" t="s">
        <v>587</v>
      </c>
      <c r="K220" s="15" t="s">
        <v>585</v>
      </c>
      <c r="L220" s="15" t="s">
        <v>588</v>
      </c>
      <c r="M220" s="16">
        <v>2</v>
      </c>
      <c r="N220" s="15" t="s">
        <v>69</v>
      </c>
    </row>
    <row r="221" spans="10:14">
      <c r="J221" s="15" t="s">
        <v>589</v>
      </c>
      <c r="K221" s="15" t="s">
        <v>585</v>
      </c>
      <c r="L221" s="15" t="s">
        <v>590</v>
      </c>
      <c r="M221" s="16">
        <v>3</v>
      </c>
      <c r="N221" s="15" t="s">
        <v>65</v>
      </c>
    </row>
    <row r="222" spans="10:14">
      <c r="J222" s="15" t="s">
        <v>591</v>
      </c>
      <c r="K222" s="15" t="s">
        <v>585</v>
      </c>
      <c r="L222" s="15" t="s">
        <v>592</v>
      </c>
      <c r="M222" s="16">
        <v>4</v>
      </c>
      <c r="N222" s="15" t="s">
        <v>93</v>
      </c>
    </row>
    <row r="223" spans="10:14">
      <c r="J223" s="15" t="s">
        <v>593</v>
      </c>
      <c r="K223" s="15" t="s">
        <v>585</v>
      </c>
      <c r="L223" s="15" t="s">
        <v>594</v>
      </c>
      <c r="M223" s="16">
        <v>2</v>
      </c>
      <c r="N223" s="15" t="s">
        <v>69</v>
      </c>
    </row>
    <row r="224" spans="10:14">
      <c r="J224" s="15" t="s">
        <v>595</v>
      </c>
      <c r="K224" s="15" t="s">
        <v>585</v>
      </c>
      <c r="L224" s="15" t="s">
        <v>596</v>
      </c>
      <c r="M224" s="16">
        <v>3</v>
      </c>
      <c r="N224" s="15" t="s">
        <v>65</v>
      </c>
    </row>
    <row r="225" spans="10:14">
      <c r="J225" s="15" t="s">
        <v>597</v>
      </c>
      <c r="K225" s="15" t="s">
        <v>585</v>
      </c>
      <c r="L225" s="15" t="s">
        <v>598</v>
      </c>
      <c r="M225" s="16">
        <v>2</v>
      </c>
      <c r="N225" s="15" t="s">
        <v>69</v>
      </c>
    </row>
    <row r="226" spans="10:14">
      <c r="J226" s="15" t="s">
        <v>599</v>
      </c>
      <c r="K226" s="15" t="s">
        <v>585</v>
      </c>
      <c r="L226" s="15" t="s">
        <v>600</v>
      </c>
      <c r="M226" s="16">
        <v>4</v>
      </c>
      <c r="N226" s="15" t="s">
        <v>93</v>
      </c>
    </row>
    <row r="227" spans="10:14">
      <c r="J227" s="15" t="s">
        <v>601</v>
      </c>
      <c r="K227" s="15" t="s">
        <v>585</v>
      </c>
      <c r="L227" s="15" t="s">
        <v>602</v>
      </c>
      <c r="M227" s="16">
        <v>2</v>
      </c>
      <c r="N227" s="15" t="s">
        <v>69</v>
      </c>
    </row>
    <row r="228" spans="10:14">
      <c r="J228" s="15" t="s">
        <v>603</v>
      </c>
      <c r="K228" s="15" t="s">
        <v>585</v>
      </c>
      <c r="L228" s="15" t="s">
        <v>604</v>
      </c>
      <c r="M228" s="16">
        <v>2</v>
      </c>
      <c r="N228" s="15" t="s">
        <v>69</v>
      </c>
    </row>
    <row r="229" spans="10:14">
      <c r="J229" s="15" t="s">
        <v>605</v>
      </c>
      <c r="K229" s="15" t="s">
        <v>585</v>
      </c>
      <c r="L229" s="15" t="s">
        <v>606</v>
      </c>
      <c r="M229" s="16">
        <v>3</v>
      </c>
      <c r="N229" s="15" t="s">
        <v>65</v>
      </c>
    </row>
    <row r="230" spans="10:14">
      <c r="J230" s="15" t="s">
        <v>607</v>
      </c>
      <c r="K230" s="15" t="s">
        <v>585</v>
      </c>
      <c r="L230" s="15" t="s">
        <v>608</v>
      </c>
      <c r="M230" s="16">
        <v>1</v>
      </c>
      <c r="N230" s="15" t="s">
        <v>150</v>
      </c>
    </row>
    <row r="231" spans="10:14">
      <c r="J231" s="15" t="s">
        <v>609</v>
      </c>
      <c r="K231" s="15" t="s">
        <v>585</v>
      </c>
      <c r="L231" s="15" t="s">
        <v>610</v>
      </c>
      <c r="M231" s="16">
        <v>4</v>
      </c>
      <c r="N231" s="15" t="s">
        <v>93</v>
      </c>
    </row>
    <row r="232" spans="10:14">
      <c r="J232" s="15" t="s">
        <v>611</v>
      </c>
      <c r="K232" s="15" t="s">
        <v>585</v>
      </c>
      <c r="L232" s="15" t="s">
        <v>612</v>
      </c>
      <c r="M232" s="16">
        <v>2</v>
      </c>
      <c r="N232" s="15" t="s">
        <v>69</v>
      </c>
    </row>
    <row r="233" spans="10:14">
      <c r="J233" s="15" t="s">
        <v>613</v>
      </c>
      <c r="K233" s="15" t="s">
        <v>585</v>
      </c>
      <c r="L233" s="15" t="s">
        <v>614</v>
      </c>
      <c r="M233" s="16">
        <v>1</v>
      </c>
      <c r="N233" s="15" t="s">
        <v>150</v>
      </c>
    </row>
    <row r="234" spans="10:14">
      <c r="J234" s="15" t="s">
        <v>615</v>
      </c>
      <c r="K234" s="15" t="s">
        <v>585</v>
      </c>
      <c r="L234" s="15" t="s">
        <v>616</v>
      </c>
      <c r="M234" s="16">
        <v>3</v>
      </c>
      <c r="N234" s="15" t="s">
        <v>65</v>
      </c>
    </row>
    <row r="235" spans="10:14">
      <c r="J235" s="15" t="s">
        <v>617</v>
      </c>
      <c r="K235" s="15" t="s">
        <v>585</v>
      </c>
      <c r="L235" s="15" t="s">
        <v>618</v>
      </c>
      <c r="M235" s="16">
        <v>2</v>
      </c>
      <c r="N235" s="15" t="s">
        <v>69</v>
      </c>
    </row>
    <row r="236" spans="10:14">
      <c r="J236" s="15" t="s">
        <v>619</v>
      </c>
      <c r="K236" s="15" t="s">
        <v>620</v>
      </c>
      <c r="L236" s="15" t="s">
        <v>621</v>
      </c>
      <c r="M236" s="16">
        <v>3</v>
      </c>
      <c r="N236" s="15" t="s">
        <v>65</v>
      </c>
    </row>
    <row r="237" spans="10:14">
      <c r="J237" s="15" t="s">
        <v>622</v>
      </c>
      <c r="K237" s="15" t="s">
        <v>620</v>
      </c>
      <c r="L237" s="15" t="s">
        <v>623</v>
      </c>
      <c r="M237" s="16">
        <v>4</v>
      </c>
      <c r="N237" s="15" t="s">
        <v>93</v>
      </c>
    </row>
    <row r="238" spans="10:14">
      <c r="J238" s="15" t="s">
        <v>624</v>
      </c>
      <c r="K238" s="15" t="s">
        <v>620</v>
      </c>
      <c r="L238" s="15" t="s">
        <v>625</v>
      </c>
      <c r="M238" s="16">
        <v>2</v>
      </c>
      <c r="N238" s="15" t="s">
        <v>69</v>
      </c>
    </row>
    <row r="239" spans="10:14">
      <c r="J239" s="15" t="s">
        <v>626</v>
      </c>
      <c r="K239" s="15" t="s">
        <v>620</v>
      </c>
      <c r="L239" s="15" t="s">
        <v>627</v>
      </c>
      <c r="M239" s="16">
        <v>1</v>
      </c>
      <c r="N239" s="15" t="s">
        <v>150</v>
      </c>
    </row>
    <row r="240" spans="10:14">
      <c r="J240" s="15" t="s">
        <v>628</v>
      </c>
      <c r="K240" s="15" t="s">
        <v>620</v>
      </c>
      <c r="L240" s="15" t="s">
        <v>629</v>
      </c>
      <c r="M240" s="16">
        <v>3</v>
      </c>
      <c r="N240" s="15" t="s">
        <v>65</v>
      </c>
    </row>
    <row r="241" spans="10:14">
      <c r="J241" s="15" t="s">
        <v>630</v>
      </c>
      <c r="K241" s="15" t="s">
        <v>620</v>
      </c>
      <c r="L241" s="15" t="s">
        <v>631</v>
      </c>
      <c r="M241" s="16">
        <v>3</v>
      </c>
      <c r="N241" s="15" t="s">
        <v>65</v>
      </c>
    </row>
    <row r="242" spans="10:14">
      <c r="J242" s="15" t="s">
        <v>632</v>
      </c>
      <c r="K242" s="15" t="s">
        <v>620</v>
      </c>
      <c r="L242" s="15" t="s">
        <v>633</v>
      </c>
      <c r="M242" s="16">
        <v>3</v>
      </c>
      <c r="N242" s="15" t="s">
        <v>65</v>
      </c>
    </row>
    <row r="243" spans="10:14">
      <c r="J243" s="15" t="s">
        <v>634</v>
      </c>
      <c r="K243" s="15" t="s">
        <v>620</v>
      </c>
      <c r="L243" s="15" t="s">
        <v>635</v>
      </c>
      <c r="M243" s="16">
        <v>2</v>
      </c>
      <c r="N243" s="15" t="s">
        <v>69</v>
      </c>
    </row>
    <row r="244" spans="10:14">
      <c r="J244" s="15" t="s">
        <v>636</v>
      </c>
      <c r="K244" s="15" t="s">
        <v>620</v>
      </c>
      <c r="L244" s="15" t="s">
        <v>637</v>
      </c>
      <c r="M244" s="16">
        <v>2</v>
      </c>
      <c r="N244" s="15" t="s">
        <v>69</v>
      </c>
    </row>
    <row r="245" spans="10:14">
      <c r="J245" s="15" t="s">
        <v>638</v>
      </c>
      <c r="K245" s="15" t="s">
        <v>620</v>
      </c>
      <c r="L245" s="15" t="s">
        <v>639</v>
      </c>
      <c r="M245" s="16">
        <v>3</v>
      </c>
      <c r="N245" s="15" t="s">
        <v>65</v>
      </c>
    </row>
    <row r="246" spans="10:14">
      <c r="J246" s="15" t="s">
        <v>640</v>
      </c>
      <c r="K246" s="15" t="s">
        <v>620</v>
      </c>
      <c r="L246" s="15" t="s">
        <v>42</v>
      </c>
      <c r="M246" s="16">
        <v>1</v>
      </c>
      <c r="N246" s="15" t="s">
        <v>150</v>
      </c>
    </row>
    <row r="247" spans="10:14">
      <c r="J247" s="15" t="s">
        <v>641</v>
      </c>
      <c r="K247" s="15" t="s">
        <v>620</v>
      </c>
      <c r="L247" s="15" t="s">
        <v>642</v>
      </c>
      <c r="M247" s="16">
        <v>4</v>
      </c>
      <c r="N247" s="15" t="s">
        <v>93</v>
      </c>
    </row>
    <row r="248" spans="10:14">
      <c r="J248" s="15" t="s">
        <v>643</v>
      </c>
      <c r="K248" s="15" t="s">
        <v>644</v>
      </c>
      <c r="L248" s="15" t="s">
        <v>645</v>
      </c>
      <c r="M248" s="16">
        <v>5</v>
      </c>
      <c r="N248" s="15" t="s">
        <v>61</v>
      </c>
    </row>
    <row r="249" spans="10:14">
      <c r="J249" s="15" t="s">
        <v>646</v>
      </c>
      <c r="K249" s="15" t="s">
        <v>644</v>
      </c>
      <c r="L249" s="15" t="s">
        <v>647</v>
      </c>
      <c r="M249" s="16">
        <v>6</v>
      </c>
      <c r="N249" s="15" t="s">
        <v>81</v>
      </c>
    </row>
    <row r="250" spans="10:14">
      <c r="J250" s="15" t="s">
        <v>648</v>
      </c>
      <c r="K250" s="15" t="s">
        <v>644</v>
      </c>
      <c r="L250" s="15" t="s">
        <v>649</v>
      </c>
      <c r="M250" s="16">
        <v>4</v>
      </c>
      <c r="N250" s="15" t="s">
        <v>93</v>
      </c>
    </row>
    <row r="251" spans="10:14">
      <c r="J251" s="15" t="s">
        <v>650</v>
      </c>
      <c r="K251" s="15" t="s">
        <v>644</v>
      </c>
      <c r="L251" s="15" t="s">
        <v>651</v>
      </c>
      <c r="M251" s="16">
        <v>5</v>
      </c>
      <c r="N251" s="15" t="s">
        <v>61</v>
      </c>
    </row>
    <row r="252" spans="10:14">
      <c r="J252" s="15" t="s">
        <v>652</v>
      </c>
      <c r="K252" s="15" t="s">
        <v>644</v>
      </c>
      <c r="L252" s="15" t="s">
        <v>653</v>
      </c>
      <c r="M252" s="16">
        <v>4</v>
      </c>
      <c r="N252" s="15" t="s">
        <v>93</v>
      </c>
    </row>
    <row r="253" spans="10:14">
      <c r="J253" s="15" t="s">
        <v>654</v>
      </c>
      <c r="K253" s="15" t="s">
        <v>644</v>
      </c>
      <c r="L253" s="15" t="s">
        <v>655</v>
      </c>
      <c r="M253" s="16">
        <v>5</v>
      </c>
      <c r="N253" s="15" t="s">
        <v>61</v>
      </c>
    </row>
    <row r="254" spans="10:14">
      <c r="J254" s="15" t="s">
        <v>656</v>
      </c>
      <c r="K254" s="15" t="s">
        <v>644</v>
      </c>
      <c r="L254" s="15" t="s">
        <v>657</v>
      </c>
      <c r="M254" s="16">
        <v>5</v>
      </c>
      <c r="N254" s="15" t="s">
        <v>61</v>
      </c>
    </row>
    <row r="255" spans="10:14">
      <c r="J255" s="15" t="s">
        <v>658</v>
      </c>
      <c r="K255" s="15" t="s">
        <v>644</v>
      </c>
      <c r="L255" s="15" t="s">
        <v>659</v>
      </c>
      <c r="M255" s="16">
        <v>3</v>
      </c>
      <c r="N255" s="15" t="s">
        <v>65</v>
      </c>
    </row>
    <row r="256" spans="10:14">
      <c r="J256" s="15" t="s">
        <v>660</v>
      </c>
      <c r="K256" s="15" t="s">
        <v>644</v>
      </c>
      <c r="L256" s="15" t="s">
        <v>42</v>
      </c>
      <c r="M256" s="16">
        <v>2</v>
      </c>
      <c r="N256" s="15" t="s">
        <v>69</v>
      </c>
    </row>
    <row r="257" spans="10:14">
      <c r="J257" s="15" t="s">
        <v>661</v>
      </c>
      <c r="K257" s="15" t="s">
        <v>644</v>
      </c>
      <c r="L257" s="15" t="s">
        <v>662</v>
      </c>
      <c r="M257" s="16">
        <v>5</v>
      </c>
      <c r="N257" s="15" t="s">
        <v>61</v>
      </c>
    </row>
    <row r="258" spans="10:14">
      <c r="J258" s="15" t="s">
        <v>663</v>
      </c>
      <c r="K258" s="15" t="s">
        <v>644</v>
      </c>
      <c r="L258" s="15" t="s">
        <v>664</v>
      </c>
      <c r="M258" s="16">
        <v>3</v>
      </c>
      <c r="N258" s="15" t="s">
        <v>65</v>
      </c>
    </row>
    <row r="259" spans="10:14">
      <c r="J259" s="15" t="s">
        <v>665</v>
      </c>
      <c r="K259" s="15" t="s">
        <v>644</v>
      </c>
      <c r="L259" s="15" t="s">
        <v>666</v>
      </c>
      <c r="M259" s="16">
        <v>6</v>
      </c>
      <c r="N259" s="15" t="s">
        <v>81</v>
      </c>
    </row>
    <row r="260" spans="10:14">
      <c r="J260" s="15" t="s">
        <v>667</v>
      </c>
      <c r="K260" s="15" t="s">
        <v>668</v>
      </c>
      <c r="L260" s="15" t="s">
        <v>669</v>
      </c>
      <c r="M260" s="16">
        <v>4</v>
      </c>
      <c r="N260" s="15" t="s">
        <v>93</v>
      </c>
    </row>
    <row r="261" spans="10:14">
      <c r="J261" s="15" t="s">
        <v>670</v>
      </c>
      <c r="K261" s="15" t="s">
        <v>668</v>
      </c>
      <c r="L261" s="15" t="s">
        <v>205</v>
      </c>
      <c r="M261" s="16">
        <v>6</v>
      </c>
      <c r="N261" s="15" t="s">
        <v>81</v>
      </c>
    </row>
    <row r="262" spans="10:14">
      <c r="J262" s="15" t="s">
        <v>671</v>
      </c>
      <c r="K262" s="15" t="s">
        <v>668</v>
      </c>
      <c r="L262" s="15" t="s">
        <v>672</v>
      </c>
      <c r="M262" s="16">
        <v>5</v>
      </c>
      <c r="N262" s="15" t="s">
        <v>61</v>
      </c>
    </row>
    <row r="263" spans="10:14">
      <c r="J263" s="15" t="s">
        <v>673</v>
      </c>
      <c r="K263" s="15" t="s">
        <v>668</v>
      </c>
      <c r="L263" s="15" t="s">
        <v>674</v>
      </c>
      <c r="M263" s="16">
        <v>5</v>
      </c>
      <c r="N263" s="15" t="s">
        <v>61</v>
      </c>
    </row>
    <row r="264" spans="10:14">
      <c r="J264" s="15" t="s">
        <v>675</v>
      </c>
      <c r="K264" s="15" t="s">
        <v>668</v>
      </c>
      <c r="L264" s="15" t="s">
        <v>676</v>
      </c>
      <c r="M264" s="16">
        <v>4</v>
      </c>
      <c r="N264" s="15" t="s">
        <v>93</v>
      </c>
    </row>
    <row r="265" spans="10:14">
      <c r="J265" s="15" t="s">
        <v>677</v>
      </c>
      <c r="K265" s="15" t="s">
        <v>668</v>
      </c>
      <c r="L265" s="15" t="s">
        <v>678</v>
      </c>
      <c r="M265" s="16">
        <v>5</v>
      </c>
      <c r="N265" s="15" t="s">
        <v>61</v>
      </c>
    </row>
    <row r="266" spans="10:14">
      <c r="J266" s="15" t="s">
        <v>679</v>
      </c>
      <c r="K266" s="15" t="s">
        <v>668</v>
      </c>
      <c r="L266" s="15" t="s">
        <v>680</v>
      </c>
      <c r="M266" s="16">
        <v>5</v>
      </c>
      <c r="N266" s="15" t="s">
        <v>61</v>
      </c>
    </row>
    <row r="267" spans="10:14">
      <c r="J267" s="15" t="s">
        <v>681</v>
      </c>
      <c r="K267" s="15" t="s">
        <v>668</v>
      </c>
      <c r="L267" s="15" t="s">
        <v>682</v>
      </c>
      <c r="M267" s="16">
        <v>5</v>
      </c>
      <c r="N267" s="15" t="s">
        <v>61</v>
      </c>
    </row>
    <row r="268" spans="10:14">
      <c r="J268" s="15" t="s">
        <v>683</v>
      </c>
      <c r="K268" s="15" t="s">
        <v>668</v>
      </c>
      <c r="L268" s="15" t="s">
        <v>42</v>
      </c>
      <c r="M268" s="16">
        <v>2</v>
      </c>
      <c r="N268" s="15" t="s">
        <v>69</v>
      </c>
    </row>
    <row r="269" spans="10:14">
      <c r="J269" s="15" t="s">
        <v>684</v>
      </c>
      <c r="K269" s="15" t="s">
        <v>668</v>
      </c>
      <c r="L269" s="15" t="s">
        <v>685</v>
      </c>
      <c r="M269" s="16">
        <v>5</v>
      </c>
      <c r="N269" s="15" t="s">
        <v>61</v>
      </c>
    </row>
    <row r="270" spans="10:14">
      <c r="J270" s="15" t="s">
        <v>686</v>
      </c>
      <c r="K270" s="15" t="s">
        <v>668</v>
      </c>
      <c r="L270" s="15" t="s">
        <v>264</v>
      </c>
      <c r="M270" s="16">
        <v>5</v>
      </c>
      <c r="N270" s="15" t="s">
        <v>61</v>
      </c>
    </row>
    <row r="271" spans="10:14">
      <c r="J271" s="15" t="s">
        <v>687</v>
      </c>
      <c r="K271" s="15" t="s">
        <v>668</v>
      </c>
      <c r="L271" s="15" t="s">
        <v>688</v>
      </c>
      <c r="M271" s="16">
        <v>4</v>
      </c>
      <c r="N271" s="15" t="s">
        <v>93</v>
      </c>
    </row>
    <row r="272" spans="10:14">
      <c r="J272" s="15" t="s">
        <v>689</v>
      </c>
      <c r="K272" s="15" t="s">
        <v>668</v>
      </c>
      <c r="L272" s="15" t="s">
        <v>690</v>
      </c>
      <c r="M272" s="16">
        <v>4</v>
      </c>
      <c r="N272" s="15" t="s">
        <v>93</v>
      </c>
    </row>
    <row r="273" spans="10:14">
      <c r="J273" s="15" t="s">
        <v>691</v>
      </c>
      <c r="K273" s="15" t="s">
        <v>668</v>
      </c>
      <c r="L273" s="15" t="s">
        <v>692</v>
      </c>
      <c r="M273" s="16">
        <v>6</v>
      </c>
      <c r="N273" s="15" t="s">
        <v>81</v>
      </c>
    </row>
    <row r="274" spans="10:14">
      <c r="J274" s="15" t="s">
        <v>693</v>
      </c>
      <c r="K274" s="15" t="s">
        <v>694</v>
      </c>
      <c r="L274" s="15" t="s">
        <v>695</v>
      </c>
      <c r="M274" s="16">
        <v>3</v>
      </c>
      <c r="N274" s="15" t="s">
        <v>65</v>
      </c>
    </row>
    <row r="275" spans="10:14">
      <c r="J275" s="15" t="s">
        <v>696</v>
      </c>
      <c r="K275" s="15" t="s">
        <v>694</v>
      </c>
      <c r="L275" s="15" t="s">
        <v>697</v>
      </c>
      <c r="M275" s="16">
        <v>4</v>
      </c>
      <c r="N275" s="15" t="s">
        <v>93</v>
      </c>
    </row>
    <row r="276" spans="10:14">
      <c r="J276" s="15" t="s">
        <v>698</v>
      </c>
      <c r="K276" s="15" t="s">
        <v>694</v>
      </c>
      <c r="L276" s="15" t="s">
        <v>699</v>
      </c>
      <c r="M276" s="16">
        <v>5</v>
      </c>
      <c r="N276" s="15" t="s">
        <v>61</v>
      </c>
    </row>
    <row r="277" spans="10:14">
      <c r="J277" s="15" t="s">
        <v>700</v>
      </c>
      <c r="K277" s="15" t="s">
        <v>694</v>
      </c>
      <c r="L277" s="15" t="s">
        <v>701</v>
      </c>
      <c r="M277" s="16">
        <v>4</v>
      </c>
      <c r="N277" s="15" t="s">
        <v>93</v>
      </c>
    </row>
    <row r="278" spans="10:14">
      <c r="J278" s="15" t="s">
        <v>702</v>
      </c>
      <c r="K278" s="15" t="s">
        <v>694</v>
      </c>
      <c r="L278" s="15" t="s">
        <v>703</v>
      </c>
      <c r="M278" s="16">
        <v>5</v>
      </c>
      <c r="N278" s="15" t="s">
        <v>61</v>
      </c>
    </row>
    <row r="279" spans="10:14">
      <c r="J279" s="15" t="s">
        <v>704</v>
      </c>
      <c r="K279" s="15" t="s">
        <v>694</v>
      </c>
      <c r="L279" s="15" t="s">
        <v>705</v>
      </c>
      <c r="M279" s="16">
        <v>4</v>
      </c>
      <c r="N279" s="15" t="s">
        <v>93</v>
      </c>
    </row>
    <row r="280" spans="10:14">
      <c r="J280" s="15" t="s">
        <v>706</v>
      </c>
      <c r="K280" s="15" t="s">
        <v>694</v>
      </c>
      <c r="L280" s="15" t="s">
        <v>707</v>
      </c>
      <c r="M280" s="16">
        <v>3</v>
      </c>
      <c r="N280" s="15" t="s">
        <v>65</v>
      </c>
    </row>
    <row r="281" spans="10:14">
      <c r="J281" s="15" t="s">
        <v>708</v>
      </c>
      <c r="K281" s="15" t="s">
        <v>694</v>
      </c>
      <c r="L281" s="15" t="s">
        <v>709</v>
      </c>
      <c r="M281" s="16">
        <v>4</v>
      </c>
      <c r="N281" s="15" t="s">
        <v>93</v>
      </c>
    </row>
    <row r="282" spans="10:14">
      <c r="J282" s="15" t="s">
        <v>710</v>
      </c>
      <c r="K282" s="15" t="s">
        <v>694</v>
      </c>
      <c r="L282" s="15" t="s">
        <v>711</v>
      </c>
      <c r="M282" s="16">
        <v>5</v>
      </c>
      <c r="N282" s="15" t="s">
        <v>61</v>
      </c>
    </row>
    <row r="283" spans="10:14">
      <c r="J283" s="15" t="s">
        <v>712</v>
      </c>
      <c r="K283" s="15" t="s">
        <v>694</v>
      </c>
      <c r="L283" s="15" t="s">
        <v>713</v>
      </c>
      <c r="M283" s="16">
        <v>4</v>
      </c>
      <c r="N283" s="15" t="s">
        <v>93</v>
      </c>
    </row>
    <row r="284" spans="10:14">
      <c r="J284" s="15" t="s">
        <v>714</v>
      </c>
      <c r="K284" s="15" t="s">
        <v>694</v>
      </c>
      <c r="L284" s="15" t="s">
        <v>715</v>
      </c>
      <c r="M284" s="16">
        <v>3</v>
      </c>
      <c r="N284" s="15" t="s">
        <v>65</v>
      </c>
    </row>
    <row r="285" spans="10:14">
      <c r="J285" s="15" t="s">
        <v>716</v>
      </c>
      <c r="K285" s="15" t="s">
        <v>694</v>
      </c>
      <c r="L285" s="15" t="s">
        <v>717</v>
      </c>
      <c r="M285" s="16">
        <v>4</v>
      </c>
      <c r="N285" s="15" t="s">
        <v>93</v>
      </c>
    </row>
    <row r="286" spans="10:14">
      <c r="J286" s="15" t="s">
        <v>718</v>
      </c>
      <c r="K286" s="15" t="s">
        <v>694</v>
      </c>
      <c r="L286" s="15" t="s">
        <v>719</v>
      </c>
      <c r="M286" s="16">
        <v>2</v>
      </c>
      <c r="N286" s="15" t="s">
        <v>69</v>
      </c>
    </row>
    <row r="287" spans="10:14">
      <c r="J287" s="15" t="s">
        <v>720</v>
      </c>
      <c r="K287" s="15" t="s">
        <v>694</v>
      </c>
      <c r="L287" s="15" t="s">
        <v>721</v>
      </c>
      <c r="M287" s="16">
        <v>4</v>
      </c>
      <c r="N287" s="15" t="s">
        <v>93</v>
      </c>
    </row>
    <row r="288" spans="10:14">
      <c r="J288" s="15" t="s">
        <v>722</v>
      </c>
      <c r="K288" s="15" t="s">
        <v>694</v>
      </c>
      <c r="L288" s="15" t="s">
        <v>723</v>
      </c>
      <c r="M288" s="16">
        <v>1</v>
      </c>
      <c r="N288" s="15" t="s">
        <v>150</v>
      </c>
    </row>
    <row r="289" spans="10:14">
      <c r="J289" s="15" t="s">
        <v>724</v>
      </c>
      <c r="K289" s="15" t="s">
        <v>694</v>
      </c>
      <c r="L289" s="15" t="s">
        <v>725</v>
      </c>
      <c r="M289" s="16">
        <v>2</v>
      </c>
      <c r="N289" s="15" t="s">
        <v>69</v>
      </c>
    </row>
    <row r="290" spans="10:14">
      <c r="J290" s="15" t="s">
        <v>726</v>
      </c>
      <c r="K290" s="15" t="s">
        <v>694</v>
      </c>
      <c r="L290" s="15" t="s">
        <v>727</v>
      </c>
      <c r="M290" s="16">
        <v>3</v>
      </c>
      <c r="N290" s="15" t="s">
        <v>65</v>
      </c>
    </row>
    <row r="291" spans="10:14">
      <c r="J291" s="15" t="s">
        <v>728</v>
      </c>
      <c r="K291" s="15" t="s">
        <v>694</v>
      </c>
      <c r="L291" s="15" t="s">
        <v>729</v>
      </c>
      <c r="M291" s="16">
        <v>3</v>
      </c>
      <c r="N291" s="15" t="s">
        <v>65</v>
      </c>
    </row>
    <row r="292" spans="10:14">
      <c r="J292" s="15" t="s">
        <v>730</v>
      </c>
      <c r="K292" s="15" t="s">
        <v>694</v>
      </c>
      <c r="L292" s="15" t="s">
        <v>731</v>
      </c>
      <c r="M292" s="16">
        <v>3</v>
      </c>
      <c r="N292" s="15" t="s">
        <v>65</v>
      </c>
    </row>
    <row r="293" spans="10:14">
      <c r="J293" s="15" t="s">
        <v>732</v>
      </c>
      <c r="K293" s="15" t="s">
        <v>733</v>
      </c>
      <c r="L293" s="15" t="s">
        <v>734</v>
      </c>
      <c r="M293" s="16">
        <v>3</v>
      </c>
      <c r="N293" s="15" t="s">
        <v>65</v>
      </c>
    </row>
    <row r="294" spans="10:14">
      <c r="J294" s="15" t="s">
        <v>735</v>
      </c>
      <c r="K294" s="15" t="s">
        <v>733</v>
      </c>
      <c r="L294" s="15" t="s">
        <v>736</v>
      </c>
      <c r="M294" s="16">
        <v>5</v>
      </c>
      <c r="N294" s="15" t="s">
        <v>61</v>
      </c>
    </row>
    <row r="295" spans="10:14">
      <c r="J295" s="15" t="s">
        <v>737</v>
      </c>
      <c r="K295" s="15" t="s">
        <v>733</v>
      </c>
      <c r="L295" s="15" t="s">
        <v>738</v>
      </c>
      <c r="M295" s="16">
        <v>6</v>
      </c>
      <c r="N295" s="15" t="s">
        <v>81</v>
      </c>
    </row>
    <row r="296" spans="10:14">
      <c r="J296" s="15" t="s">
        <v>739</v>
      </c>
      <c r="K296" s="15" t="s">
        <v>733</v>
      </c>
      <c r="L296" s="15" t="s">
        <v>740</v>
      </c>
      <c r="M296" s="16">
        <v>6</v>
      </c>
      <c r="N296" s="15" t="s">
        <v>81</v>
      </c>
    </row>
    <row r="297" spans="10:14">
      <c r="J297" s="15" t="s">
        <v>741</v>
      </c>
      <c r="K297" s="15" t="s">
        <v>733</v>
      </c>
      <c r="L297" s="15" t="s">
        <v>742</v>
      </c>
      <c r="M297" s="16">
        <v>6</v>
      </c>
      <c r="N297" s="15" t="s">
        <v>81</v>
      </c>
    </row>
    <row r="298" spans="10:14">
      <c r="J298" s="15" t="s">
        <v>743</v>
      </c>
      <c r="K298" s="15" t="s">
        <v>733</v>
      </c>
      <c r="L298" s="15" t="s">
        <v>744</v>
      </c>
      <c r="M298" s="16">
        <v>6</v>
      </c>
      <c r="N298" s="15" t="s">
        <v>81</v>
      </c>
    </row>
    <row r="299" spans="10:14">
      <c r="J299" s="15" t="s">
        <v>745</v>
      </c>
      <c r="K299" s="15" t="s">
        <v>733</v>
      </c>
      <c r="L299" s="15" t="s">
        <v>746</v>
      </c>
      <c r="M299" s="16">
        <v>6</v>
      </c>
      <c r="N299" s="15" t="s">
        <v>81</v>
      </c>
    </row>
    <row r="300" spans="10:14">
      <c r="J300" s="15" t="s">
        <v>747</v>
      </c>
      <c r="K300" s="15" t="s">
        <v>733</v>
      </c>
      <c r="L300" s="15" t="s">
        <v>748</v>
      </c>
      <c r="M300" s="16">
        <v>5</v>
      </c>
      <c r="N300" s="15" t="s">
        <v>61</v>
      </c>
    </row>
    <row r="301" spans="10:14">
      <c r="J301" s="15" t="s">
        <v>749</v>
      </c>
      <c r="K301" s="15" t="s">
        <v>733</v>
      </c>
      <c r="L301" s="15" t="s">
        <v>750</v>
      </c>
      <c r="M301" s="16">
        <v>6</v>
      </c>
      <c r="N301" s="15" t="s">
        <v>81</v>
      </c>
    </row>
    <row r="302" spans="10:14">
      <c r="J302" s="15" t="s">
        <v>751</v>
      </c>
      <c r="K302" s="15" t="s">
        <v>733</v>
      </c>
      <c r="L302" s="15" t="s">
        <v>752</v>
      </c>
      <c r="M302" s="16">
        <v>6</v>
      </c>
      <c r="N302" s="15" t="s">
        <v>81</v>
      </c>
    </row>
    <row r="303" spans="10:14">
      <c r="J303" s="15" t="s">
        <v>753</v>
      </c>
      <c r="K303" s="15" t="s">
        <v>733</v>
      </c>
      <c r="L303" s="15" t="s">
        <v>754</v>
      </c>
      <c r="M303" s="16">
        <v>2</v>
      </c>
      <c r="N303" s="15" t="s">
        <v>69</v>
      </c>
    </row>
    <row r="304" spans="10:14">
      <c r="J304" s="15" t="s">
        <v>755</v>
      </c>
      <c r="K304" s="15" t="s">
        <v>733</v>
      </c>
      <c r="L304" s="15" t="s">
        <v>756</v>
      </c>
      <c r="M304" s="16">
        <v>6</v>
      </c>
      <c r="N304" s="15" t="s">
        <v>81</v>
      </c>
    </row>
    <row r="305" spans="10:14">
      <c r="J305" s="15" t="s">
        <v>757</v>
      </c>
      <c r="K305" s="15" t="s">
        <v>733</v>
      </c>
      <c r="L305" s="15" t="s">
        <v>758</v>
      </c>
      <c r="M305" s="16">
        <v>6</v>
      </c>
      <c r="N305" s="15" t="s">
        <v>81</v>
      </c>
    </row>
    <row r="306" spans="10:14">
      <c r="J306" s="15" t="s">
        <v>759</v>
      </c>
      <c r="K306" s="15" t="s">
        <v>733</v>
      </c>
      <c r="L306" s="15" t="s">
        <v>760</v>
      </c>
      <c r="M306" s="16">
        <v>6</v>
      </c>
      <c r="N306" s="15" t="s">
        <v>81</v>
      </c>
    </row>
    <row r="307" spans="10:14">
      <c r="J307" s="15" t="s">
        <v>761</v>
      </c>
      <c r="K307" s="15" t="s">
        <v>733</v>
      </c>
      <c r="L307" s="15" t="s">
        <v>762</v>
      </c>
      <c r="M307" s="16">
        <v>5</v>
      </c>
      <c r="N307" s="15" t="s">
        <v>61</v>
      </c>
    </row>
    <row r="308" spans="10:14">
      <c r="J308" s="15" t="s">
        <v>763</v>
      </c>
      <c r="K308" s="15" t="s">
        <v>733</v>
      </c>
      <c r="L308" s="15" t="s">
        <v>764</v>
      </c>
      <c r="M308" s="16">
        <v>3</v>
      </c>
      <c r="N308" s="15" t="s">
        <v>65</v>
      </c>
    </row>
    <row r="309" spans="10:14">
      <c r="J309" s="15" t="s">
        <v>765</v>
      </c>
      <c r="K309" s="15" t="s">
        <v>733</v>
      </c>
      <c r="L309" s="15" t="s">
        <v>616</v>
      </c>
      <c r="M309" s="16">
        <v>2</v>
      </c>
      <c r="N309" s="15" t="s">
        <v>69</v>
      </c>
    </row>
    <row r="310" spans="10:14">
      <c r="J310" s="15" t="s">
        <v>766</v>
      </c>
      <c r="K310" s="15" t="s">
        <v>767</v>
      </c>
      <c r="L310" s="15" t="s">
        <v>768</v>
      </c>
      <c r="M310" s="16">
        <v>3</v>
      </c>
      <c r="N310" s="15" t="s">
        <v>65</v>
      </c>
    </row>
    <row r="311" spans="10:14">
      <c r="J311" s="15" t="s">
        <v>769</v>
      </c>
      <c r="K311" s="15" t="s">
        <v>767</v>
      </c>
      <c r="L311" s="15" t="s">
        <v>770</v>
      </c>
      <c r="M311" s="16">
        <v>4</v>
      </c>
      <c r="N311" s="15" t="s">
        <v>93</v>
      </c>
    </row>
    <row r="312" spans="10:14">
      <c r="J312" s="15" t="s">
        <v>771</v>
      </c>
      <c r="K312" s="15" t="s">
        <v>767</v>
      </c>
      <c r="L312" s="15" t="s">
        <v>772</v>
      </c>
      <c r="M312" s="16">
        <v>4</v>
      </c>
      <c r="N312" s="15" t="s">
        <v>93</v>
      </c>
    </row>
    <row r="313" spans="10:14">
      <c r="J313" s="15" t="s">
        <v>773</v>
      </c>
      <c r="K313" s="15" t="s">
        <v>767</v>
      </c>
      <c r="L313" s="15" t="s">
        <v>774</v>
      </c>
      <c r="M313" s="16">
        <v>4</v>
      </c>
      <c r="N313" s="15" t="s">
        <v>93</v>
      </c>
    </row>
    <row r="314" spans="10:14">
      <c r="J314" s="15" t="s">
        <v>775</v>
      </c>
      <c r="K314" s="15" t="s">
        <v>767</v>
      </c>
      <c r="L314" s="15" t="s">
        <v>776</v>
      </c>
      <c r="M314" s="16">
        <v>3</v>
      </c>
      <c r="N314" s="15" t="s">
        <v>65</v>
      </c>
    </row>
    <row r="315" spans="10:14">
      <c r="J315" s="15" t="s">
        <v>777</v>
      </c>
      <c r="K315" s="15" t="s">
        <v>767</v>
      </c>
      <c r="L315" s="15" t="s">
        <v>778</v>
      </c>
      <c r="M315" s="16">
        <v>3</v>
      </c>
      <c r="N315" s="15" t="s">
        <v>65</v>
      </c>
    </row>
    <row r="316" spans="10:14">
      <c r="J316" s="15" t="s">
        <v>779</v>
      </c>
      <c r="K316" s="15" t="s">
        <v>767</v>
      </c>
      <c r="L316" s="15" t="s">
        <v>42</v>
      </c>
      <c r="M316" s="16">
        <v>2</v>
      </c>
      <c r="N316" s="15" t="s">
        <v>69</v>
      </c>
    </row>
    <row r="317" spans="10:14">
      <c r="J317" s="15" t="s">
        <v>780</v>
      </c>
      <c r="K317" s="15" t="s">
        <v>767</v>
      </c>
      <c r="L317" s="15" t="s">
        <v>781</v>
      </c>
      <c r="M317" s="16">
        <v>6</v>
      </c>
      <c r="N317" s="15" t="s">
        <v>81</v>
      </c>
    </row>
    <row r="318" spans="10:14">
      <c r="J318" s="15" t="s">
        <v>782</v>
      </c>
      <c r="K318" s="15" t="s">
        <v>783</v>
      </c>
      <c r="L318" s="15" t="s">
        <v>784</v>
      </c>
      <c r="M318" s="16">
        <v>4</v>
      </c>
      <c r="N318" s="15" t="s">
        <v>93</v>
      </c>
    </row>
    <row r="319" spans="10:14">
      <c r="J319" s="15" t="s">
        <v>785</v>
      </c>
      <c r="K319" s="15" t="s">
        <v>783</v>
      </c>
      <c r="L319" s="15" t="s">
        <v>786</v>
      </c>
      <c r="M319" s="16">
        <v>4</v>
      </c>
      <c r="N319" s="15" t="s">
        <v>93</v>
      </c>
    </row>
    <row r="320" spans="10:14">
      <c r="J320" s="15" t="s">
        <v>787</v>
      </c>
      <c r="K320" s="15" t="s">
        <v>783</v>
      </c>
      <c r="L320" s="15" t="s">
        <v>788</v>
      </c>
      <c r="M320" s="16">
        <v>4</v>
      </c>
      <c r="N320" s="15" t="s">
        <v>93</v>
      </c>
    </row>
    <row r="321" spans="10:14">
      <c r="J321" s="15" t="s">
        <v>789</v>
      </c>
      <c r="K321" s="15" t="s">
        <v>783</v>
      </c>
      <c r="L321" s="15" t="s">
        <v>790</v>
      </c>
      <c r="M321" s="16">
        <v>2</v>
      </c>
      <c r="N321" s="15" t="s">
        <v>69</v>
      </c>
    </row>
    <row r="322" spans="10:14">
      <c r="J322" s="15" t="s">
        <v>791</v>
      </c>
      <c r="K322" s="15" t="s">
        <v>783</v>
      </c>
      <c r="L322" s="15" t="s">
        <v>792</v>
      </c>
      <c r="M322" s="16">
        <v>4</v>
      </c>
      <c r="N322" s="15" t="s">
        <v>93</v>
      </c>
    </row>
    <row r="323" spans="10:14">
      <c r="J323" s="15" t="s">
        <v>793</v>
      </c>
      <c r="K323" s="15" t="s">
        <v>783</v>
      </c>
      <c r="L323" s="15" t="s">
        <v>794</v>
      </c>
      <c r="M323" s="16">
        <v>5</v>
      </c>
      <c r="N323" s="15" t="s">
        <v>61</v>
      </c>
    </row>
    <row r="324" spans="10:14">
      <c r="J324" s="15" t="s">
        <v>795</v>
      </c>
      <c r="K324" s="15" t="s">
        <v>783</v>
      </c>
      <c r="L324" s="15" t="s">
        <v>42</v>
      </c>
      <c r="M324" s="16">
        <v>1</v>
      </c>
      <c r="N324" s="15" t="s">
        <v>150</v>
      </c>
    </row>
    <row r="325" spans="10:14">
      <c r="J325" s="15" t="s">
        <v>796</v>
      </c>
      <c r="K325" s="15" t="s">
        <v>783</v>
      </c>
      <c r="L325" s="15" t="s">
        <v>797</v>
      </c>
      <c r="M325" s="16">
        <v>4</v>
      </c>
      <c r="N325" s="15" t="s">
        <v>93</v>
      </c>
    </row>
    <row r="326" spans="10:14">
      <c r="J326" s="15" t="s">
        <v>798</v>
      </c>
      <c r="K326" s="15" t="s">
        <v>783</v>
      </c>
      <c r="L326" s="15" t="s">
        <v>799</v>
      </c>
      <c r="M326" s="16">
        <v>3</v>
      </c>
      <c r="N326" s="15" t="s">
        <v>65</v>
      </c>
    </row>
    <row r="327" spans="10:14">
      <c r="J327" s="15" t="s">
        <v>800</v>
      </c>
      <c r="K327" s="15" t="s">
        <v>801</v>
      </c>
      <c r="L327" s="15" t="s">
        <v>802</v>
      </c>
      <c r="M327" s="16">
        <v>5</v>
      </c>
      <c r="N327" s="15" t="s">
        <v>61</v>
      </c>
    </row>
    <row r="328" spans="10:14">
      <c r="J328" s="15" t="s">
        <v>803</v>
      </c>
      <c r="K328" s="15" t="s">
        <v>801</v>
      </c>
      <c r="L328" s="15" t="s">
        <v>804</v>
      </c>
      <c r="M328" s="16">
        <v>5</v>
      </c>
      <c r="N328" s="15" t="s">
        <v>61</v>
      </c>
    </row>
    <row r="329" spans="10:14">
      <c r="J329" s="15" t="s">
        <v>805</v>
      </c>
      <c r="K329" s="15" t="s">
        <v>801</v>
      </c>
      <c r="L329" s="15" t="s">
        <v>806</v>
      </c>
      <c r="M329" s="16">
        <v>6</v>
      </c>
      <c r="N329" s="15" t="s">
        <v>81</v>
      </c>
    </row>
    <row r="330" spans="10:14">
      <c r="J330" s="15" t="s">
        <v>807</v>
      </c>
      <c r="K330" s="15" t="s">
        <v>801</v>
      </c>
      <c r="L330" s="15" t="s">
        <v>808</v>
      </c>
      <c r="M330" s="16">
        <v>5</v>
      </c>
      <c r="N330" s="15" t="s">
        <v>61</v>
      </c>
    </row>
    <row r="331" spans="10:14">
      <c r="J331" s="15" t="s">
        <v>809</v>
      </c>
      <c r="K331" s="15" t="s">
        <v>801</v>
      </c>
      <c r="L331" s="15" t="s">
        <v>810</v>
      </c>
      <c r="M331" s="16">
        <v>4</v>
      </c>
      <c r="N331" s="15" t="s">
        <v>93</v>
      </c>
    </row>
    <row r="332" spans="10:14">
      <c r="J332" s="15" t="s">
        <v>811</v>
      </c>
      <c r="K332" s="15" t="s">
        <v>801</v>
      </c>
      <c r="L332" s="15" t="s">
        <v>812</v>
      </c>
      <c r="M332" s="16">
        <v>4</v>
      </c>
      <c r="N332" s="15" t="s">
        <v>93</v>
      </c>
    </row>
    <row r="333" spans="10:14">
      <c r="J333" s="15" t="s">
        <v>813</v>
      </c>
      <c r="K333" s="15" t="s">
        <v>801</v>
      </c>
      <c r="L333" s="15" t="s">
        <v>814</v>
      </c>
      <c r="M333" s="16">
        <v>4</v>
      </c>
      <c r="N333" s="15" t="s">
        <v>93</v>
      </c>
    </row>
    <row r="334" spans="10:14">
      <c r="J334" s="15" t="s">
        <v>815</v>
      </c>
      <c r="K334" s="15" t="s">
        <v>801</v>
      </c>
      <c r="L334" s="15" t="s">
        <v>816</v>
      </c>
      <c r="M334" s="16">
        <v>5</v>
      </c>
      <c r="N334" s="15" t="s">
        <v>61</v>
      </c>
    </row>
    <row r="335" spans="10:14">
      <c r="J335" s="15" t="s">
        <v>817</v>
      </c>
      <c r="K335" s="15" t="s">
        <v>801</v>
      </c>
      <c r="L335" s="15" t="s">
        <v>42</v>
      </c>
      <c r="M335" s="16">
        <v>2</v>
      </c>
      <c r="N335" s="15" t="s">
        <v>69</v>
      </c>
    </row>
    <row r="336" spans="10:14">
      <c r="J336" s="15" t="s">
        <v>818</v>
      </c>
      <c r="K336" s="15" t="s">
        <v>801</v>
      </c>
      <c r="L336" s="15" t="s">
        <v>819</v>
      </c>
      <c r="M336" s="16">
        <v>5</v>
      </c>
      <c r="N336" s="15" t="s">
        <v>61</v>
      </c>
    </row>
    <row r="337" spans="10:14">
      <c r="J337" s="15" t="s">
        <v>820</v>
      </c>
      <c r="K337" s="15" t="s">
        <v>801</v>
      </c>
      <c r="L337" s="15" t="s">
        <v>821</v>
      </c>
      <c r="M337" s="16">
        <v>5</v>
      </c>
      <c r="N337" s="15" t="s">
        <v>61</v>
      </c>
    </row>
    <row r="338" spans="10:14">
      <c r="J338" s="15" t="s">
        <v>822</v>
      </c>
      <c r="K338" s="15" t="s">
        <v>823</v>
      </c>
      <c r="L338" s="15" t="s">
        <v>824</v>
      </c>
      <c r="M338" s="16">
        <v>5</v>
      </c>
      <c r="N338" s="15" t="s">
        <v>61</v>
      </c>
    </row>
    <row r="339" spans="10:14">
      <c r="J339" s="15" t="s">
        <v>825</v>
      </c>
      <c r="K339" s="15" t="s">
        <v>823</v>
      </c>
      <c r="L339" s="15" t="s">
        <v>826</v>
      </c>
      <c r="M339" s="16">
        <v>4</v>
      </c>
      <c r="N339" s="15" t="s">
        <v>93</v>
      </c>
    </row>
    <row r="340" spans="10:14">
      <c r="J340" s="15" t="s">
        <v>827</v>
      </c>
      <c r="K340" s="15" t="s">
        <v>823</v>
      </c>
      <c r="L340" s="15" t="s">
        <v>828</v>
      </c>
      <c r="M340" s="16">
        <v>5</v>
      </c>
      <c r="N340" s="15" t="s">
        <v>61</v>
      </c>
    </row>
    <row r="341" spans="10:14">
      <c r="J341" s="15" t="s">
        <v>829</v>
      </c>
      <c r="K341" s="15" t="s">
        <v>823</v>
      </c>
      <c r="L341" s="15" t="s">
        <v>830</v>
      </c>
      <c r="M341" s="16">
        <v>4</v>
      </c>
      <c r="N341" s="15" t="s">
        <v>93</v>
      </c>
    </row>
    <row r="342" spans="10:14">
      <c r="J342" s="15" t="s">
        <v>831</v>
      </c>
      <c r="K342" s="15" t="s">
        <v>823</v>
      </c>
      <c r="L342" s="15" t="s">
        <v>42</v>
      </c>
      <c r="M342" s="16">
        <v>2</v>
      </c>
      <c r="N342" s="15" t="s">
        <v>69</v>
      </c>
    </row>
    <row r="343" spans="10:14">
      <c r="J343" s="15" t="s">
        <v>832</v>
      </c>
      <c r="K343" s="15" t="s">
        <v>823</v>
      </c>
      <c r="L343" s="15" t="s">
        <v>833</v>
      </c>
      <c r="M343" s="16">
        <v>5</v>
      </c>
      <c r="N343" s="15" t="s">
        <v>61</v>
      </c>
    </row>
    <row r="344" spans="10:14">
      <c r="J344" s="15" t="s">
        <v>834</v>
      </c>
      <c r="K344" s="15" t="s">
        <v>823</v>
      </c>
      <c r="L344" s="15" t="s">
        <v>835</v>
      </c>
      <c r="M344" s="16">
        <v>4</v>
      </c>
      <c r="N344" s="15" t="s">
        <v>93</v>
      </c>
    </row>
    <row r="345" spans="10:14">
      <c r="J345" s="15" t="s">
        <v>836</v>
      </c>
      <c r="K345" s="15" t="s">
        <v>823</v>
      </c>
      <c r="L345" s="15" t="s">
        <v>837</v>
      </c>
      <c r="M345" s="16">
        <v>5</v>
      </c>
      <c r="N345" s="15" t="s">
        <v>61</v>
      </c>
    </row>
    <row r="346" spans="10:14">
      <c r="J346" s="15" t="s">
        <v>838</v>
      </c>
      <c r="K346" s="15" t="s">
        <v>823</v>
      </c>
      <c r="L346" s="15" t="s">
        <v>839</v>
      </c>
      <c r="M346" s="16">
        <v>5</v>
      </c>
      <c r="N346" s="15" t="s">
        <v>61</v>
      </c>
    </row>
    <row r="347" spans="10:14">
      <c r="J347" s="15" t="s">
        <v>840</v>
      </c>
      <c r="K347" s="15" t="s">
        <v>841</v>
      </c>
      <c r="L347" s="15" t="s">
        <v>842</v>
      </c>
      <c r="M347" s="16">
        <v>5</v>
      </c>
      <c r="N347" s="15" t="s">
        <v>61</v>
      </c>
    </row>
    <row r="348" spans="10:14">
      <c r="J348" s="15" t="s">
        <v>843</v>
      </c>
      <c r="K348" s="15" t="s">
        <v>841</v>
      </c>
      <c r="L348" s="15" t="s">
        <v>844</v>
      </c>
      <c r="M348" s="16">
        <v>3</v>
      </c>
      <c r="N348" s="15" t="s">
        <v>65</v>
      </c>
    </row>
    <row r="349" spans="10:14">
      <c r="J349" s="15" t="s">
        <v>845</v>
      </c>
      <c r="K349" s="15" t="s">
        <v>841</v>
      </c>
      <c r="L349" s="15" t="s">
        <v>846</v>
      </c>
      <c r="M349" s="16">
        <v>6</v>
      </c>
      <c r="N349" s="15" t="s">
        <v>81</v>
      </c>
    </row>
    <row r="350" spans="10:14">
      <c r="J350" s="15" t="s">
        <v>847</v>
      </c>
      <c r="K350" s="15" t="s">
        <v>841</v>
      </c>
      <c r="L350" s="15" t="s">
        <v>848</v>
      </c>
      <c r="M350" s="16">
        <v>6</v>
      </c>
      <c r="N350" s="15" t="s">
        <v>81</v>
      </c>
    </row>
    <row r="351" spans="10:14">
      <c r="J351" s="15" t="s">
        <v>849</v>
      </c>
      <c r="K351" s="15" t="s">
        <v>841</v>
      </c>
      <c r="L351" s="15" t="s">
        <v>850</v>
      </c>
      <c r="M351" s="16">
        <v>5</v>
      </c>
      <c r="N351" s="15" t="s">
        <v>61</v>
      </c>
    </row>
    <row r="352" spans="10:14">
      <c r="J352" s="15" t="s">
        <v>851</v>
      </c>
      <c r="K352" s="15" t="s">
        <v>841</v>
      </c>
      <c r="L352" s="15" t="s">
        <v>852</v>
      </c>
      <c r="M352" s="16">
        <v>4</v>
      </c>
      <c r="N352" s="15" t="s">
        <v>93</v>
      </c>
    </row>
    <row r="353" spans="10:14">
      <c r="J353" s="15" t="s">
        <v>853</v>
      </c>
      <c r="K353" s="15" t="s">
        <v>841</v>
      </c>
      <c r="L353" s="15" t="s">
        <v>854</v>
      </c>
      <c r="M353" s="16">
        <v>6</v>
      </c>
      <c r="N353" s="15" t="s">
        <v>81</v>
      </c>
    </row>
    <row r="354" spans="10:14">
      <c r="J354" s="15" t="s">
        <v>855</v>
      </c>
      <c r="K354" s="15" t="s">
        <v>841</v>
      </c>
      <c r="L354" s="15" t="s">
        <v>856</v>
      </c>
      <c r="M354" s="16">
        <v>6</v>
      </c>
      <c r="N354" s="15" t="s">
        <v>81</v>
      </c>
    </row>
    <row r="355" spans="10:14">
      <c r="J355" s="15" t="s">
        <v>857</v>
      </c>
      <c r="K355" s="15" t="s">
        <v>841</v>
      </c>
      <c r="L355" s="15" t="s">
        <v>858</v>
      </c>
      <c r="M355" s="16">
        <v>6</v>
      </c>
      <c r="N355" s="15" t="s">
        <v>81</v>
      </c>
    </row>
    <row r="356" spans="10:14">
      <c r="J356" s="15" t="s">
        <v>859</v>
      </c>
      <c r="K356" s="15" t="s">
        <v>841</v>
      </c>
      <c r="L356" s="15" t="s">
        <v>860</v>
      </c>
      <c r="M356" s="16">
        <v>5</v>
      </c>
      <c r="N356" s="15" t="s">
        <v>61</v>
      </c>
    </row>
    <row r="357" spans="10:14">
      <c r="J357" s="15" t="s">
        <v>861</v>
      </c>
      <c r="K357" s="15" t="s">
        <v>841</v>
      </c>
      <c r="L357" s="15" t="s">
        <v>862</v>
      </c>
      <c r="M357" s="16">
        <v>3</v>
      </c>
      <c r="N357" s="15" t="s">
        <v>65</v>
      </c>
    </row>
    <row r="358" spans="10:14">
      <c r="J358" s="15" t="s">
        <v>863</v>
      </c>
      <c r="K358" s="15" t="s">
        <v>841</v>
      </c>
      <c r="L358" s="15" t="s">
        <v>864</v>
      </c>
      <c r="M358" s="16">
        <v>5</v>
      </c>
      <c r="N358" s="15" t="s">
        <v>61</v>
      </c>
    </row>
    <row r="359" spans="10:14">
      <c r="J359" s="15" t="s">
        <v>865</v>
      </c>
      <c r="K359" s="15" t="s">
        <v>841</v>
      </c>
      <c r="L359" s="15" t="s">
        <v>866</v>
      </c>
      <c r="M359" s="16">
        <v>3</v>
      </c>
      <c r="N359" s="15" t="s">
        <v>65</v>
      </c>
    </row>
    <row r="360" spans="10:14">
      <c r="J360" s="15" t="s">
        <v>867</v>
      </c>
      <c r="K360" s="15" t="s">
        <v>841</v>
      </c>
      <c r="L360" s="15" t="s">
        <v>868</v>
      </c>
      <c r="M360" s="16">
        <v>5</v>
      </c>
      <c r="N360" s="15" t="s">
        <v>61</v>
      </c>
    </row>
    <row r="361" spans="10:14">
      <c r="J361" s="15" t="s">
        <v>869</v>
      </c>
      <c r="K361" s="15" t="s">
        <v>841</v>
      </c>
      <c r="L361" s="15" t="s">
        <v>870</v>
      </c>
      <c r="M361" s="16">
        <v>5</v>
      </c>
      <c r="N361" s="15" t="s">
        <v>61</v>
      </c>
    </row>
    <row r="362" spans="10:14">
      <c r="J362" s="15" t="s">
        <v>871</v>
      </c>
      <c r="K362" s="15" t="s">
        <v>841</v>
      </c>
      <c r="L362" s="15" t="s">
        <v>872</v>
      </c>
      <c r="M362" s="16">
        <v>6</v>
      </c>
      <c r="N362" s="15" t="s">
        <v>81</v>
      </c>
    </row>
    <row r="363" spans="10:14">
      <c r="J363" s="15" t="s">
        <v>873</v>
      </c>
      <c r="K363" s="15" t="s">
        <v>841</v>
      </c>
      <c r="L363" s="15" t="s">
        <v>874</v>
      </c>
      <c r="M363" s="16">
        <v>6</v>
      </c>
      <c r="N363" s="15" t="s">
        <v>81</v>
      </c>
    </row>
    <row r="364" spans="10:14">
      <c r="J364" s="15" t="s">
        <v>875</v>
      </c>
      <c r="K364" s="15" t="s">
        <v>841</v>
      </c>
      <c r="L364" s="15" t="s">
        <v>876</v>
      </c>
      <c r="M364" s="16">
        <v>5</v>
      </c>
      <c r="N364" s="15" t="s">
        <v>61</v>
      </c>
    </row>
    <row r="365" spans="10:14">
      <c r="J365" s="15" t="s">
        <v>877</v>
      </c>
      <c r="K365" s="15" t="s">
        <v>841</v>
      </c>
      <c r="L365" s="15" t="s">
        <v>878</v>
      </c>
      <c r="M365" s="16">
        <v>5</v>
      </c>
      <c r="N365" s="15" t="s">
        <v>61</v>
      </c>
    </row>
    <row r="366" spans="10:14">
      <c r="J366" s="15" t="s">
        <v>879</v>
      </c>
      <c r="K366" s="15" t="s">
        <v>841</v>
      </c>
      <c r="L366" s="15" t="s">
        <v>880</v>
      </c>
      <c r="M366" s="16">
        <v>1</v>
      </c>
      <c r="N366" s="15" t="s">
        <v>150</v>
      </c>
    </row>
    <row r="367" spans="10:14">
      <c r="J367" s="15" t="s">
        <v>881</v>
      </c>
      <c r="K367" s="15" t="s">
        <v>882</v>
      </c>
      <c r="L367" s="15" t="s">
        <v>883</v>
      </c>
      <c r="M367" s="16">
        <v>4</v>
      </c>
      <c r="N367" s="15" t="s">
        <v>93</v>
      </c>
    </row>
    <row r="368" spans="10:14">
      <c r="J368" s="15" t="s">
        <v>884</v>
      </c>
      <c r="K368" s="15" t="s">
        <v>882</v>
      </c>
      <c r="L368" s="15" t="s">
        <v>885</v>
      </c>
      <c r="M368" s="16">
        <v>4</v>
      </c>
      <c r="N368" s="15" t="s">
        <v>93</v>
      </c>
    </row>
    <row r="369" spans="10:14">
      <c r="J369" s="15" t="s">
        <v>886</v>
      </c>
      <c r="K369" s="15" t="s">
        <v>882</v>
      </c>
      <c r="L369" s="15" t="s">
        <v>887</v>
      </c>
      <c r="M369" s="16">
        <v>4</v>
      </c>
      <c r="N369" s="15" t="s">
        <v>93</v>
      </c>
    </row>
    <row r="370" spans="10:14">
      <c r="J370" s="15" t="s">
        <v>888</v>
      </c>
      <c r="K370" s="15" t="s">
        <v>882</v>
      </c>
      <c r="L370" s="15" t="s">
        <v>889</v>
      </c>
      <c r="M370" s="16">
        <v>5</v>
      </c>
      <c r="N370" s="15" t="s">
        <v>61</v>
      </c>
    </row>
    <row r="371" spans="10:14">
      <c r="J371" s="15" t="s">
        <v>890</v>
      </c>
      <c r="K371" s="15" t="s">
        <v>882</v>
      </c>
      <c r="L371" s="15" t="s">
        <v>891</v>
      </c>
      <c r="M371" s="16">
        <v>5</v>
      </c>
      <c r="N371" s="15" t="s">
        <v>61</v>
      </c>
    </row>
    <row r="372" spans="10:14">
      <c r="J372" s="15" t="s">
        <v>892</v>
      </c>
      <c r="K372" s="15" t="s">
        <v>882</v>
      </c>
      <c r="L372" s="15" t="s">
        <v>893</v>
      </c>
      <c r="M372" s="16">
        <v>3</v>
      </c>
      <c r="N372" s="15" t="s">
        <v>65</v>
      </c>
    </row>
    <row r="373" spans="10:14">
      <c r="J373" s="15" t="s">
        <v>894</v>
      </c>
      <c r="K373" s="15" t="s">
        <v>882</v>
      </c>
      <c r="L373" s="15" t="s">
        <v>895</v>
      </c>
      <c r="M373" s="16">
        <v>4</v>
      </c>
      <c r="N373" s="15" t="s">
        <v>93</v>
      </c>
    </row>
    <row r="374" spans="10:14">
      <c r="J374" s="15" t="s">
        <v>896</v>
      </c>
      <c r="K374" s="15" t="s">
        <v>882</v>
      </c>
      <c r="L374" s="15" t="s">
        <v>897</v>
      </c>
      <c r="M374" s="16">
        <v>4</v>
      </c>
      <c r="N374" s="15" t="s">
        <v>93</v>
      </c>
    </row>
    <row r="375" spans="10:14">
      <c r="J375" s="15" t="s">
        <v>898</v>
      </c>
      <c r="K375" s="15" t="s">
        <v>882</v>
      </c>
      <c r="L375" s="15" t="s">
        <v>899</v>
      </c>
      <c r="M375" s="16">
        <v>5</v>
      </c>
      <c r="N375" s="15" t="s">
        <v>61</v>
      </c>
    </row>
    <row r="376" spans="10:14">
      <c r="J376" s="15" t="s">
        <v>900</v>
      </c>
      <c r="K376" s="15" t="s">
        <v>882</v>
      </c>
      <c r="L376" s="15" t="s">
        <v>901</v>
      </c>
      <c r="M376" s="16">
        <v>1</v>
      </c>
      <c r="N376" s="15" t="s">
        <v>150</v>
      </c>
    </row>
    <row r="377" spans="10:14">
      <c r="J377" s="15" t="s">
        <v>902</v>
      </c>
      <c r="K377" s="15" t="s">
        <v>882</v>
      </c>
      <c r="L377" s="15" t="s">
        <v>903</v>
      </c>
      <c r="M377" s="16">
        <v>5</v>
      </c>
      <c r="N377" s="15" t="s">
        <v>61</v>
      </c>
    </row>
    <row r="378" spans="10:14">
      <c r="J378" s="15" t="s">
        <v>904</v>
      </c>
      <c r="K378" s="15" t="s">
        <v>882</v>
      </c>
      <c r="L378" s="15" t="s">
        <v>905</v>
      </c>
      <c r="M378" s="16">
        <v>4</v>
      </c>
      <c r="N378" s="15" t="s">
        <v>93</v>
      </c>
    </row>
    <row r="379" spans="10:14">
      <c r="J379" s="15" t="s">
        <v>906</v>
      </c>
      <c r="K379" s="15" t="s">
        <v>882</v>
      </c>
      <c r="L379" s="15" t="s">
        <v>907</v>
      </c>
      <c r="M379" s="16">
        <v>3</v>
      </c>
      <c r="N379" s="15" t="s">
        <v>65</v>
      </c>
    </row>
    <row r="380" spans="10:14">
      <c r="J380" s="15" t="s">
        <v>908</v>
      </c>
      <c r="K380" s="15" t="s">
        <v>882</v>
      </c>
      <c r="L380" s="15" t="s">
        <v>909</v>
      </c>
      <c r="M380" s="16">
        <v>2</v>
      </c>
      <c r="N380" s="15" t="s">
        <v>69</v>
      </c>
    </row>
    <row r="381" spans="10:14">
      <c r="J381" s="15" t="s">
        <v>910</v>
      </c>
      <c r="K381" s="15" t="s">
        <v>911</v>
      </c>
      <c r="L381" s="15" t="s">
        <v>912</v>
      </c>
      <c r="M381" s="16">
        <v>5</v>
      </c>
      <c r="N381" s="15" t="s">
        <v>61</v>
      </c>
    </row>
    <row r="382" spans="10:14">
      <c r="J382" s="15" t="s">
        <v>913</v>
      </c>
      <c r="K382" s="15" t="s">
        <v>911</v>
      </c>
      <c r="L382" s="15" t="s">
        <v>914</v>
      </c>
      <c r="M382" s="16">
        <v>4</v>
      </c>
      <c r="N382" s="15" t="s">
        <v>93</v>
      </c>
    </row>
    <row r="383" spans="10:14">
      <c r="J383" s="15" t="s">
        <v>915</v>
      </c>
      <c r="K383" s="15" t="s">
        <v>911</v>
      </c>
      <c r="L383" s="15" t="s">
        <v>916</v>
      </c>
      <c r="M383" s="16">
        <v>6</v>
      </c>
      <c r="N383" s="15" t="s">
        <v>81</v>
      </c>
    </row>
    <row r="384" spans="10:14">
      <c r="J384" s="15" t="s">
        <v>917</v>
      </c>
      <c r="K384" s="15" t="s">
        <v>911</v>
      </c>
      <c r="L384" s="15" t="s">
        <v>918</v>
      </c>
      <c r="M384" s="16">
        <v>3</v>
      </c>
      <c r="N384" s="15" t="s">
        <v>65</v>
      </c>
    </row>
    <row r="385" spans="10:14">
      <c r="J385" s="15" t="s">
        <v>919</v>
      </c>
      <c r="K385" s="15" t="s">
        <v>911</v>
      </c>
      <c r="L385" s="15" t="s">
        <v>920</v>
      </c>
      <c r="M385" s="16">
        <v>4</v>
      </c>
      <c r="N385" s="15" t="s">
        <v>93</v>
      </c>
    </row>
    <row r="386" spans="10:14">
      <c r="J386" s="15" t="s">
        <v>921</v>
      </c>
      <c r="K386" s="15" t="s">
        <v>911</v>
      </c>
      <c r="L386" s="15" t="s">
        <v>922</v>
      </c>
      <c r="M386" s="16">
        <v>4</v>
      </c>
      <c r="N386" s="15" t="s">
        <v>93</v>
      </c>
    </row>
    <row r="387" spans="10:14">
      <c r="J387" s="15" t="s">
        <v>923</v>
      </c>
      <c r="K387" s="15" t="s">
        <v>911</v>
      </c>
      <c r="L387" s="15" t="s">
        <v>924</v>
      </c>
      <c r="M387" s="16">
        <v>2</v>
      </c>
      <c r="N387" s="15" t="s">
        <v>69</v>
      </c>
    </row>
    <row r="388" spans="10:14">
      <c r="J388" s="15" t="s">
        <v>925</v>
      </c>
      <c r="K388" s="15" t="s">
        <v>911</v>
      </c>
      <c r="L388" s="15" t="s">
        <v>926</v>
      </c>
      <c r="M388" s="16">
        <v>1</v>
      </c>
      <c r="N388" s="15" t="s">
        <v>150</v>
      </c>
    </row>
    <row r="389" spans="10:14">
      <c r="J389" s="15" t="s">
        <v>927</v>
      </c>
      <c r="K389" s="15" t="s">
        <v>911</v>
      </c>
      <c r="L389" s="15" t="s">
        <v>928</v>
      </c>
      <c r="M389" s="16">
        <v>6</v>
      </c>
      <c r="N389" s="15" t="s">
        <v>81</v>
      </c>
    </row>
    <row r="390" spans="10:14">
      <c r="J390" s="15" t="s">
        <v>929</v>
      </c>
      <c r="K390" s="15" t="s">
        <v>41</v>
      </c>
      <c r="L390" s="15" t="s">
        <v>930</v>
      </c>
      <c r="M390" s="16">
        <v>5</v>
      </c>
      <c r="N390" s="15" t="s">
        <v>61</v>
      </c>
    </row>
    <row r="391" spans="10:14">
      <c r="J391" s="15" t="s">
        <v>931</v>
      </c>
      <c r="K391" s="15" t="s">
        <v>41</v>
      </c>
      <c r="L391" s="15" t="s">
        <v>932</v>
      </c>
      <c r="M391" s="16">
        <v>3</v>
      </c>
      <c r="N391" s="15" t="s">
        <v>65</v>
      </c>
    </row>
    <row r="392" spans="10:14">
      <c r="J392" s="15" t="s">
        <v>933</v>
      </c>
      <c r="K392" s="15" t="s">
        <v>41</v>
      </c>
      <c r="L392" s="15" t="s">
        <v>934</v>
      </c>
      <c r="M392" s="16">
        <v>6</v>
      </c>
      <c r="N392" s="15" t="s">
        <v>81</v>
      </c>
    </row>
    <row r="393" spans="10:14">
      <c r="J393" s="15" t="s">
        <v>935</v>
      </c>
      <c r="K393" s="15" t="s">
        <v>41</v>
      </c>
      <c r="L393" s="15" t="s">
        <v>936</v>
      </c>
      <c r="M393" s="16">
        <v>5</v>
      </c>
      <c r="N393" s="15" t="s">
        <v>61</v>
      </c>
    </row>
    <row r="394" spans="10:14">
      <c r="J394" s="15" t="s">
        <v>937</v>
      </c>
      <c r="K394" s="15" t="s">
        <v>41</v>
      </c>
      <c r="L394" s="15" t="s">
        <v>938</v>
      </c>
      <c r="M394" s="16">
        <v>5</v>
      </c>
      <c r="N394" s="15" t="s">
        <v>61</v>
      </c>
    </row>
    <row r="395" spans="10:14">
      <c r="J395" s="15" t="s">
        <v>939</v>
      </c>
      <c r="K395" s="15" t="s">
        <v>41</v>
      </c>
      <c r="L395" s="15" t="s">
        <v>940</v>
      </c>
      <c r="M395" s="16">
        <v>5</v>
      </c>
      <c r="N395" s="15" t="s">
        <v>61</v>
      </c>
    </row>
    <row r="396" spans="10:14">
      <c r="J396" s="15" t="s">
        <v>941</v>
      </c>
      <c r="K396" s="15" t="s">
        <v>41</v>
      </c>
      <c r="L396" s="15" t="s">
        <v>942</v>
      </c>
      <c r="M396" s="16">
        <v>4</v>
      </c>
      <c r="N396" s="15" t="s">
        <v>93</v>
      </c>
    </row>
    <row r="397" spans="10:14">
      <c r="J397" s="15" t="s">
        <v>943</v>
      </c>
      <c r="K397" s="15" t="s">
        <v>41</v>
      </c>
      <c r="L397" s="15" t="s">
        <v>944</v>
      </c>
      <c r="M397" s="16">
        <v>4</v>
      </c>
      <c r="N397" s="15" t="s">
        <v>93</v>
      </c>
    </row>
    <row r="398" spans="10:14">
      <c r="J398" s="15" t="s">
        <v>945</v>
      </c>
      <c r="K398" s="15" t="s">
        <v>41</v>
      </c>
      <c r="L398" s="15" t="s">
        <v>946</v>
      </c>
      <c r="M398" s="16">
        <v>3</v>
      </c>
      <c r="N398" s="15" t="s">
        <v>65</v>
      </c>
    </row>
    <row r="399" spans="10:14">
      <c r="J399" s="15" t="s">
        <v>947</v>
      </c>
      <c r="K399" s="15" t="s">
        <v>41</v>
      </c>
      <c r="L399" s="15" t="s">
        <v>948</v>
      </c>
      <c r="M399" s="16">
        <v>5</v>
      </c>
      <c r="N399" s="15" t="s">
        <v>61</v>
      </c>
    </row>
    <row r="400" spans="10:14">
      <c r="J400" s="15" t="s">
        <v>949</v>
      </c>
      <c r="K400" s="15" t="s">
        <v>41</v>
      </c>
      <c r="L400" s="15" t="s">
        <v>950</v>
      </c>
      <c r="M400" s="16">
        <v>4</v>
      </c>
      <c r="N400" s="15" t="s">
        <v>93</v>
      </c>
    </row>
    <row r="401" spans="10:14">
      <c r="J401" s="15" t="s">
        <v>951</v>
      </c>
      <c r="K401" s="15" t="s">
        <v>41</v>
      </c>
      <c r="L401" s="15" t="s">
        <v>42</v>
      </c>
      <c r="M401" s="16">
        <v>2</v>
      </c>
      <c r="N401" s="15" t="s">
        <v>69</v>
      </c>
    </row>
    <row r="402" spans="10:14">
      <c r="J402" s="15" t="s">
        <v>952</v>
      </c>
      <c r="K402" s="15" t="s">
        <v>41</v>
      </c>
      <c r="L402" s="15" t="s">
        <v>953</v>
      </c>
      <c r="M402" s="16">
        <v>3</v>
      </c>
      <c r="N402" s="15" t="s">
        <v>65</v>
      </c>
    </row>
    <row r="403" spans="10:14">
      <c r="J403" s="15" t="s">
        <v>954</v>
      </c>
      <c r="K403" s="15" t="s">
        <v>41</v>
      </c>
      <c r="L403" s="15" t="s">
        <v>955</v>
      </c>
      <c r="M403" s="16">
        <v>4</v>
      </c>
      <c r="N403" s="15" t="s">
        <v>93</v>
      </c>
    </row>
    <row r="404" spans="10:14">
      <c r="J404" s="15" t="s">
        <v>956</v>
      </c>
      <c r="K404" s="15" t="s">
        <v>41</v>
      </c>
      <c r="L404" s="15" t="s">
        <v>957</v>
      </c>
      <c r="M404" s="16">
        <v>3</v>
      </c>
      <c r="N404" s="15" t="s">
        <v>65</v>
      </c>
    </row>
    <row r="405" spans="10:14">
      <c r="J405" s="15" t="s">
        <v>958</v>
      </c>
      <c r="K405" s="15" t="s">
        <v>41</v>
      </c>
      <c r="L405" s="15" t="s">
        <v>959</v>
      </c>
      <c r="M405" s="16">
        <v>5</v>
      </c>
      <c r="N405" s="15" t="s">
        <v>61</v>
      </c>
    </row>
    <row r="406" spans="10:14">
      <c r="J406" s="15" t="s">
        <v>960</v>
      </c>
      <c r="K406" s="15" t="s">
        <v>961</v>
      </c>
      <c r="L406" s="15" t="s">
        <v>962</v>
      </c>
      <c r="M406" s="16">
        <v>4</v>
      </c>
      <c r="N406" s="15" t="s">
        <v>93</v>
      </c>
    </row>
    <row r="407" spans="10:14">
      <c r="J407" s="15" t="s">
        <v>963</v>
      </c>
      <c r="K407" s="15" t="s">
        <v>961</v>
      </c>
      <c r="L407" s="15" t="s">
        <v>964</v>
      </c>
      <c r="M407" s="16">
        <v>5</v>
      </c>
      <c r="N407" s="15" t="s">
        <v>61</v>
      </c>
    </row>
    <row r="408" spans="10:14">
      <c r="J408" s="15" t="s">
        <v>965</v>
      </c>
      <c r="K408" s="15" t="s">
        <v>961</v>
      </c>
      <c r="L408" s="15" t="s">
        <v>966</v>
      </c>
      <c r="M408" s="16">
        <v>5</v>
      </c>
      <c r="N408" s="15" t="s">
        <v>61</v>
      </c>
    </row>
    <row r="409" spans="10:14">
      <c r="J409" s="15" t="s">
        <v>967</v>
      </c>
      <c r="K409" s="15" t="s">
        <v>961</v>
      </c>
      <c r="L409" s="15" t="s">
        <v>42</v>
      </c>
      <c r="M409" s="16">
        <v>2</v>
      </c>
      <c r="N409" s="15" t="s">
        <v>69</v>
      </c>
    </row>
    <row r="410" spans="10:14">
      <c r="J410" s="15" t="s">
        <v>968</v>
      </c>
      <c r="K410" s="15" t="s">
        <v>961</v>
      </c>
      <c r="L410" s="15" t="s">
        <v>969</v>
      </c>
      <c r="M410" s="16">
        <v>5</v>
      </c>
      <c r="N410" s="15" t="s">
        <v>61</v>
      </c>
    </row>
    <row r="411" spans="10:14">
      <c r="J411" s="15" t="s">
        <v>970</v>
      </c>
      <c r="K411" s="15" t="s">
        <v>961</v>
      </c>
      <c r="L411" s="15" t="s">
        <v>971</v>
      </c>
      <c r="M411" s="16">
        <v>4</v>
      </c>
      <c r="N411" s="15" t="s">
        <v>93</v>
      </c>
    </row>
    <row r="412" spans="10:14">
      <c r="J412" s="15" t="s">
        <v>972</v>
      </c>
      <c r="K412" s="15" t="s">
        <v>973</v>
      </c>
      <c r="L412" s="15" t="s">
        <v>974</v>
      </c>
      <c r="M412" s="16">
        <v>4</v>
      </c>
      <c r="N412" s="15" t="s">
        <v>93</v>
      </c>
    </row>
    <row r="413" spans="10:14">
      <c r="J413" s="15" t="s">
        <v>975</v>
      </c>
      <c r="K413" s="15" t="s">
        <v>973</v>
      </c>
      <c r="L413" s="15" t="s">
        <v>976</v>
      </c>
      <c r="M413" s="16">
        <v>6</v>
      </c>
      <c r="N413" s="15" t="s">
        <v>81</v>
      </c>
    </row>
    <row r="414" spans="10:14">
      <c r="J414" s="15" t="s">
        <v>977</v>
      </c>
      <c r="K414" s="15" t="s">
        <v>973</v>
      </c>
      <c r="L414" s="15" t="s">
        <v>42</v>
      </c>
      <c r="M414" s="16">
        <v>3</v>
      </c>
      <c r="N414" s="15" t="s">
        <v>65</v>
      </c>
    </row>
    <row r="415" spans="10:14">
      <c r="J415" s="15" t="s">
        <v>978</v>
      </c>
      <c r="K415" s="15" t="s">
        <v>973</v>
      </c>
      <c r="L415" s="15" t="s">
        <v>979</v>
      </c>
      <c r="M415" s="16">
        <v>5</v>
      </c>
      <c r="N415" s="15" t="s">
        <v>61</v>
      </c>
    </row>
    <row r="416" spans="10:14">
      <c r="J416" s="15" t="s">
        <v>980</v>
      </c>
      <c r="K416" s="15" t="s">
        <v>973</v>
      </c>
      <c r="L416" s="15" t="s">
        <v>981</v>
      </c>
      <c r="M416" s="16">
        <v>4</v>
      </c>
      <c r="N416" s="15" t="s">
        <v>93</v>
      </c>
    </row>
    <row r="417" spans="10:14">
      <c r="J417" s="15" t="s">
        <v>982</v>
      </c>
      <c r="K417" s="15" t="s">
        <v>983</v>
      </c>
      <c r="L417" s="15" t="s">
        <v>984</v>
      </c>
      <c r="M417" s="16">
        <v>6</v>
      </c>
      <c r="N417" s="15" t="s">
        <v>81</v>
      </c>
    </row>
    <row r="418" spans="10:14">
      <c r="J418" s="15" t="s">
        <v>985</v>
      </c>
      <c r="K418" s="15" t="s">
        <v>983</v>
      </c>
      <c r="L418" s="15" t="s">
        <v>986</v>
      </c>
      <c r="M418" s="16">
        <v>2</v>
      </c>
      <c r="N418" s="15" t="s">
        <v>69</v>
      </c>
    </row>
    <row r="419" spans="10:14">
      <c r="J419" s="15" t="s">
        <v>987</v>
      </c>
      <c r="K419" s="15" t="s">
        <v>983</v>
      </c>
      <c r="L419" s="15" t="s">
        <v>988</v>
      </c>
      <c r="M419" s="16">
        <v>3</v>
      </c>
      <c r="N419" s="15" t="s">
        <v>65</v>
      </c>
    </row>
    <row r="420" spans="10:14">
      <c r="J420" s="15" t="s">
        <v>989</v>
      </c>
      <c r="K420" s="15" t="s">
        <v>983</v>
      </c>
      <c r="L420" s="15" t="s">
        <v>990</v>
      </c>
      <c r="M420" s="16">
        <v>3</v>
      </c>
      <c r="N420" s="15" t="s">
        <v>65</v>
      </c>
    </row>
    <row r="421" spans="10:14">
      <c r="J421" s="15" t="s">
        <v>991</v>
      </c>
      <c r="K421" s="15" t="s">
        <v>983</v>
      </c>
      <c r="L421" s="15" t="s">
        <v>992</v>
      </c>
      <c r="M421" s="16">
        <v>3</v>
      </c>
      <c r="N421" s="15" t="s">
        <v>65</v>
      </c>
    </row>
    <row r="422" spans="10:14">
      <c r="J422" s="15" t="s">
        <v>993</v>
      </c>
      <c r="K422" s="15" t="s">
        <v>983</v>
      </c>
      <c r="L422" s="15" t="s">
        <v>994</v>
      </c>
      <c r="M422" s="16">
        <v>3</v>
      </c>
      <c r="N422" s="15" t="s">
        <v>65</v>
      </c>
    </row>
    <row r="423" spans="10:14">
      <c r="J423" s="15" t="s">
        <v>995</v>
      </c>
      <c r="K423" s="15" t="s">
        <v>983</v>
      </c>
      <c r="L423" s="15" t="s">
        <v>996</v>
      </c>
      <c r="M423" s="16">
        <v>4</v>
      </c>
      <c r="N423" s="15" t="s">
        <v>93</v>
      </c>
    </row>
    <row r="424" spans="10:14">
      <c r="J424" s="15" t="s">
        <v>997</v>
      </c>
      <c r="K424" s="15" t="s">
        <v>983</v>
      </c>
      <c r="L424" s="15" t="s">
        <v>998</v>
      </c>
      <c r="M424" s="16">
        <v>5</v>
      </c>
      <c r="N424" s="15" t="s">
        <v>61</v>
      </c>
    </row>
    <row r="425" spans="10:14">
      <c r="J425" s="15" t="s">
        <v>999</v>
      </c>
      <c r="K425" s="15" t="s">
        <v>983</v>
      </c>
      <c r="L425" s="15" t="s">
        <v>1000</v>
      </c>
      <c r="M425" s="16">
        <v>2</v>
      </c>
      <c r="N425" s="15" t="s">
        <v>69</v>
      </c>
    </row>
    <row r="426" spans="10:14">
      <c r="J426" s="15" t="s">
        <v>1001</v>
      </c>
      <c r="K426" s="15" t="s">
        <v>983</v>
      </c>
      <c r="L426" s="15" t="s">
        <v>1002</v>
      </c>
      <c r="M426" s="16">
        <v>4</v>
      </c>
      <c r="N426" s="15" t="s">
        <v>93</v>
      </c>
    </row>
    <row r="427" spans="10:14">
      <c r="J427" s="15" t="s">
        <v>1003</v>
      </c>
      <c r="K427" s="15" t="s">
        <v>983</v>
      </c>
      <c r="L427" s="15" t="s">
        <v>1004</v>
      </c>
      <c r="M427" s="16">
        <v>6</v>
      </c>
      <c r="N427" s="15" t="s">
        <v>81</v>
      </c>
    </row>
    <row r="428" spans="10:14">
      <c r="J428" s="15" t="s">
        <v>1005</v>
      </c>
      <c r="K428" s="15" t="s">
        <v>983</v>
      </c>
      <c r="L428" s="15" t="s">
        <v>1006</v>
      </c>
      <c r="M428" s="16">
        <v>3</v>
      </c>
      <c r="N428" s="15" t="s">
        <v>65</v>
      </c>
    </row>
    <row r="429" spans="10:14">
      <c r="J429" s="15" t="s">
        <v>1007</v>
      </c>
      <c r="K429" s="15" t="s">
        <v>983</v>
      </c>
      <c r="L429" s="15" t="s">
        <v>1008</v>
      </c>
      <c r="M429" s="16">
        <v>5</v>
      </c>
      <c r="N429" s="15" t="s">
        <v>61</v>
      </c>
    </row>
    <row r="430" spans="10:14">
      <c r="J430" s="15" t="s">
        <v>1009</v>
      </c>
      <c r="K430" s="15" t="s">
        <v>983</v>
      </c>
      <c r="L430" s="15" t="s">
        <v>1010</v>
      </c>
      <c r="M430" s="16">
        <v>3</v>
      </c>
      <c r="N430" s="15" t="s">
        <v>65</v>
      </c>
    </row>
    <row r="431" spans="10:14">
      <c r="J431" s="15" t="s">
        <v>1011</v>
      </c>
      <c r="K431" s="15" t="s">
        <v>983</v>
      </c>
      <c r="L431" s="15" t="s">
        <v>1012</v>
      </c>
      <c r="M431" s="16">
        <v>6</v>
      </c>
      <c r="N431" s="15" t="s">
        <v>81</v>
      </c>
    </row>
    <row r="432" spans="10:14">
      <c r="J432" s="15" t="s">
        <v>1013</v>
      </c>
      <c r="K432" s="15" t="s">
        <v>1014</v>
      </c>
      <c r="L432" s="15" t="s">
        <v>1015</v>
      </c>
      <c r="M432" s="16">
        <v>6</v>
      </c>
      <c r="N432" s="15" t="s">
        <v>81</v>
      </c>
    </row>
    <row r="433" spans="10:14">
      <c r="J433" s="15" t="s">
        <v>1016</v>
      </c>
      <c r="K433" s="15" t="s">
        <v>1014</v>
      </c>
      <c r="L433" s="15" t="s">
        <v>1017</v>
      </c>
      <c r="M433" s="16">
        <v>6</v>
      </c>
      <c r="N433" s="15" t="s">
        <v>81</v>
      </c>
    </row>
    <row r="434" spans="10:14">
      <c r="J434" s="15" t="s">
        <v>1018</v>
      </c>
      <c r="K434" s="15" t="s">
        <v>1014</v>
      </c>
      <c r="L434" s="15" t="s">
        <v>42</v>
      </c>
      <c r="M434" s="16">
        <v>3</v>
      </c>
      <c r="N434" s="15" t="s">
        <v>65</v>
      </c>
    </row>
    <row r="435" spans="10:14">
      <c r="J435" s="15" t="s">
        <v>1019</v>
      </c>
      <c r="K435" s="15" t="s">
        <v>1014</v>
      </c>
      <c r="L435" s="15" t="s">
        <v>1020</v>
      </c>
      <c r="M435" s="16">
        <v>6</v>
      </c>
      <c r="N435" s="15" t="s">
        <v>81</v>
      </c>
    </row>
    <row r="436" spans="10:14">
      <c r="J436" s="15" t="s">
        <v>1021</v>
      </c>
      <c r="K436" s="15" t="s">
        <v>1022</v>
      </c>
      <c r="L436" s="15" t="s">
        <v>337</v>
      </c>
      <c r="M436" s="16">
        <v>5</v>
      </c>
      <c r="N436" s="15" t="s">
        <v>61</v>
      </c>
    </row>
    <row r="437" spans="10:14">
      <c r="J437" s="15" t="s">
        <v>1023</v>
      </c>
      <c r="K437" s="15" t="s">
        <v>1022</v>
      </c>
      <c r="L437" s="15" t="s">
        <v>1024</v>
      </c>
      <c r="M437" s="16">
        <v>4</v>
      </c>
      <c r="N437" s="15" t="s">
        <v>93</v>
      </c>
    </row>
    <row r="438" spans="10:14">
      <c r="J438" s="15" t="s">
        <v>1025</v>
      </c>
      <c r="K438" s="15" t="s">
        <v>1022</v>
      </c>
      <c r="L438" s="15" t="s">
        <v>1026</v>
      </c>
      <c r="M438" s="16">
        <v>3</v>
      </c>
      <c r="N438" s="15" t="s">
        <v>65</v>
      </c>
    </row>
    <row r="439" spans="10:14">
      <c r="J439" s="15" t="s">
        <v>1027</v>
      </c>
      <c r="K439" s="15" t="s">
        <v>1022</v>
      </c>
      <c r="L439" s="15" t="s">
        <v>1028</v>
      </c>
      <c r="M439" s="16">
        <v>5</v>
      </c>
      <c r="N439" s="15" t="s">
        <v>61</v>
      </c>
    </row>
    <row r="440" spans="10:14">
      <c r="J440" s="15" t="s">
        <v>1029</v>
      </c>
      <c r="K440" s="15" t="s">
        <v>1022</v>
      </c>
      <c r="L440" s="15" t="s">
        <v>457</v>
      </c>
      <c r="M440" s="16">
        <v>3</v>
      </c>
      <c r="N440" s="15" t="s">
        <v>65</v>
      </c>
    </row>
    <row r="441" spans="10:14">
      <c r="J441" s="15" t="s">
        <v>1030</v>
      </c>
      <c r="K441" s="15" t="s">
        <v>1022</v>
      </c>
      <c r="L441" s="15" t="s">
        <v>1031</v>
      </c>
      <c r="M441" s="16">
        <v>3</v>
      </c>
      <c r="N441" s="15" t="s">
        <v>65</v>
      </c>
    </row>
    <row r="442" spans="10:14">
      <c r="J442" s="15" t="s">
        <v>1032</v>
      </c>
      <c r="K442" s="15" t="s">
        <v>1022</v>
      </c>
      <c r="L442" s="15" t="s">
        <v>42</v>
      </c>
      <c r="M442" s="16">
        <v>2</v>
      </c>
      <c r="N442" s="15" t="s">
        <v>69</v>
      </c>
    </row>
    <row r="443" spans="10:14">
      <c r="J443" s="15" t="s">
        <v>1033</v>
      </c>
      <c r="K443" s="15" t="s">
        <v>1022</v>
      </c>
      <c r="L443" s="15" t="s">
        <v>1034</v>
      </c>
      <c r="M443" s="16">
        <v>4</v>
      </c>
      <c r="N443" s="15" t="s">
        <v>93</v>
      </c>
    </row>
    <row r="444" spans="10:14">
      <c r="J444" s="15" t="s">
        <v>1035</v>
      </c>
      <c r="K444" s="15" t="s">
        <v>1022</v>
      </c>
      <c r="L444" s="15" t="s">
        <v>1036</v>
      </c>
      <c r="M444" s="16">
        <v>5</v>
      </c>
      <c r="N444" s="15" t="s">
        <v>61</v>
      </c>
    </row>
    <row r="445" spans="10:14">
      <c r="J445" s="15" t="s">
        <v>1037</v>
      </c>
      <c r="K445" s="15" t="s">
        <v>1022</v>
      </c>
      <c r="L445" s="15" t="s">
        <v>1038</v>
      </c>
      <c r="M445" s="16">
        <v>4</v>
      </c>
      <c r="N445" s="15" t="s">
        <v>93</v>
      </c>
    </row>
    <row r="446" spans="10:14">
      <c r="J446" s="15" t="s">
        <v>1039</v>
      </c>
      <c r="K446" s="15" t="s">
        <v>1022</v>
      </c>
      <c r="L446" s="15" t="s">
        <v>1040</v>
      </c>
      <c r="M446" s="16">
        <v>3</v>
      </c>
      <c r="N446" s="15" t="s">
        <v>65</v>
      </c>
    </row>
    <row r="447" spans="10:14">
      <c r="J447" s="15" t="s">
        <v>1041</v>
      </c>
      <c r="K447" s="15" t="s">
        <v>1022</v>
      </c>
      <c r="L447" s="15" t="s">
        <v>1042</v>
      </c>
      <c r="M447" s="16">
        <v>3</v>
      </c>
      <c r="N447" s="15" t="s">
        <v>65</v>
      </c>
    </row>
    <row r="448" spans="10:14">
      <c r="J448" s="15" t="s">
        <v>1043</v>
      </c>
      <c r="K448" s="15" t="s">
        <v>1022</v>
      </c>
      <c r="L448" s="15" t="s">
        <v>1044</v>
      </c>
      <c r="M448" s="16">
        <v>4</v>
      </c>
      <c r="N448" s="15" t="s">
        <v>93</v>
      </c>
    </row>
    <row r="449" spans="10:14">
      <c r="J449" s="15" t="s">
        <v>1045</v>
      </c>
      <c r="K449" s="15" t="s">
        <v>1046</v>
      </c>
      <c r="L449" s="15" t="s">
        <v>1047</v>
      </c>
      <c r="M449" s="16">
        <v>1</v>
      </c>
      <c r="N449" s="15" t="s">
        <v>150</v>
      </c>
    </row>
    <row r="450" spans="10:14">
      <c r="J450" s="15" t="s">
        <v>1048</v>
      </c>
      <c r="K450" s="15" t="s">
        <v>1046</v>
      </c>
      <c r="L450" s="15" t="s">
        <v>1049</v>
      </c>
      <c r="M450" s="16">
        <v>2</v>
      </c>
      <c r="N450" s="15" t="s">
        <v>69</v>
      </c>
    </row>
    <row r="451" spans="10:14">
      <c r="J451" s="15" t="s">
        <v>1050</v>
      </c>
      <c r="K451" s="15" t="s">
        <v>1046</v>
      </c>
      <c r="L451" s="15" t="s">
        <v>1051</v>
      </c>
      <c r="M451" s="16">
        <v>1</v>
      </c>
      <c r="N451" s="15" t="s">
        <v>150</v>
      </c>
    </row>
    <row r="452" spans="10:14">
      <c r="J452" s="15" t="s">
        <v>1052</v>
      </c>
      <c r="K452" s="15" t="s">
        <v>1046</v>
      </c>
      <c r="L452" s="15" t="s">
        <v>1053</v>
      </c>
      <c r="M452" s="16">
        <v>1</v>
      </c>
      <c r="N452" s="15" t="s">
        <v>150</v>
      </c>
    </row>
    <row r="453" spans="10:14">
      <c r="J453" s="15" t="s">
        <v>1054</v>
      </c>
      <c r="K453" s="15" t="s">
        <v>1046</v>
      </c>
      <c r="L453" s="15" t="s">
        <v>1055</v>
      </c>
      <c r="M453" s="16">
        <v>1</v>
      </c>
      <c r="N453" s="15" t="s">
        <v>150</v>
      </c>
    </row>
    <row r="454" spans="10:14">
      <c r="J454" s="15" t="s">
        <v>1056</v>
      </c>
      <c r="K454" s="15" t="s">
        <v>1046</v>
      </c>
      <c r="L454" s="15" t="s">
        <v>1057</v>
      </c>
      <c r="M454" s="16">
        <v>1</v>
      </c>
      <c r="N454" s="15" t="s">
        <v>150</v>
      </c>
    </row>
    <row r="455" spans="10:14">
      <c r="J455" s="15" t="s">
        <v>1058</v>
      </c>
      <c r="K455" s="15" t="s">
        <v>1046</v>
      </c>
      <c r="L455" s="15" t="s">
        <v>1059</v>
      </c>
      <c r="M455" s="16">
        <v>1</v>
      </c>
      <c r="N455" s="15" t="s">
        <v>150</v>
      </c>
    </row>
    <row r="456" spans="10:14">
      <c r="J456" s="15" t="s">
        <v>1060</v>
      </c>
      <c r="K456" s="15" t="s">
        <v>1046</v>
      </c>
      <c r="L456" s="15" t="s">
        <v>1061</v>
      </c>
      <c r="M456" s="16">
        <v>1</v>
      </c>
      <c r="N456" s="15" t="s">
        <v>150</v>
      </c>
    </row>
    <row r="457" spans="10:14">
      <c r="J457" s="15" t="s">
        <v>1062</v>
      </c>
      <c r="K457" s="15" t="s">
        <v>1046</v>
      </c>
      <c r="L457" s="15" t="s">
        <v>1063</v>
      </c>
      <c r="M457" s="16">
        <v>1</v>
      </c>
      <c r="N457" s="15" t="s">
        <v>150</v>
      </c>
    </row>
    <row r="458" spans="10:14">
      <c r="J458" s="15" t="s">
        <v>1064</v>
      </c>
      <c r="K458" s="15" t="s">
        <v>1046</v>
      </c>
      <c r="L458" s="15" t="s">
        <v>1065</v>
      </c>
      <c r="M458" s="16">
        <v>1</v>
      </c>
      <c r="N458" s="15" t="s">
        <v>150</v>
      </c>
    </row>
    <row r="459" spans="10:14">
      <c r="J459" s="15" t="s">
        <v>1066</v>
      </c>
      <c r="K459" s="15" t="s">
        <v>1046</v>
      </c>
      <c r="L459" s="15" t="s">
        <v>1067</v>
      </c>
      <c r="M459" s="16">
        <v>1</v>
      </c>
      <c r="N459" s="15" t="s">
        <v>150</v>
      </c>
    </row>
    <row r="460" spans="10:14">
      <c r="J460" s="15" t="s">
        <v>1068</v>
      </c>
      <c r="K460" s="15" t="s">
        <v>1046</v>
      </c>
      <c r="L460" s="15" t="s">
        <v>1069</v>
      </c>
      <c r="M460" s="16">
        <v>1</v>
      </c>
      <c r="N460" s="15" t="s">
        <v>150</v>
      </c>
    </row>
    <row r="461" spans="10:14">
      <c r="J461" s="15" t="s">
        <v>1070</v>
      </c>
      <c r="K461" s="15" t="s">
        <v>1046</v>
      </c>
      <c r="L461" s="15" t="s">
        <v>1071</v>
      </c>
      <c r="M461" s="16">
        <v>1</v>
      </c>
      <c r="N461" s="15" t="s">
        <v>150</v>
      </c>
    </row>
    <row r="462" spans="10:14">
      <c r="J462" s="15" t="s">
        <v>1072</v>
      </c>
      <c r="K462" s="15" t="s">
        <v>1046</v>
      </c>
      <c r="L462" s="15" t="s">
        <v>1073</v>
      </c>
      <c r="M462" s="16">
        <v>1</v>
      </c>
      <c r="N462" s="15" t="s">
        <v>150</v>
      </c>
    </row>
    <row r="463" spans="10:14">
      <c r="J463" s="15" t="s">
        <v>1074</v>
      </c>
      <c r="K463" s="15" t="s">
        <v>1046</v>
      </c>
      <c r="L463" s="15" t="s">
        <v>1075</v>
      </c>
      <c r="M463" s="16">
        <v>2</v>
      </c>
      <c r="N463" s="15" t="s">
        <v>69</v>
      </c>
    </row>
    <row r="464" spans="10:14">
      <c r="J464" s="15" t="s">
        <v>1076</v>
      </c>
      <c r="K464" s="15" t="s">
        <v>1046</v>
      </c>
      <c r="L464" s="15" t="s">
        <v>1077</v>
      </c>
      <c r="M464" s="16">
        <v>2</v>
      </c>
      <c r="N464" s="15" t="s">
        <v>69</v>
      </c>
    </row>
    <row r="465" spans="10:14">
      <c r="J465" s="15" t="s">
        <v>1078</v>
      </c>
      <c r="K465" s="15" t="s">
        <v>1046</v>
      </c>
      <c r="L465" s="15" t="s">
        <v>1079</v>
      </c>
      <c r="M465" s="16">
        <v>2</v>
      </c>
      <c r="N465" s="15" t="s">
        <v>69</v>
      </c>
    </row>
    <row r="466" spans="10:14">
      <c r="J466" s="15" t="s">
        <v>1080</v>
      </c>
      <c r="K466" s="15" t="s">
        <v>1046</v>
      </c>
      <c r="L466" s="15" t="s">
        <v>1081</v>
      </c>
      <c r="M466" s="16">
        <v>1</v>
      </c>
      <c r="N466" s="15" t="s">
        <v>150</v>
      </c>
    </row>
    <row r="467" spans="10:14">
      <c r="J467" s="15" t="s">
        <v>1082</v>
      </c>
      <c r="K467" s="15" t="s">
        <v>1046</v>
      </c>
      <c r="L467" s="15" t="s">
        <v>1083</v>
      </c>
      <c r="M467" s="16">
        <v>1</v>
      </c>
      <c r="N467" s="15" t="s">
        <v>150</v>
      </c>
    </row>
    <row r="468" spans="10:14">
      <c r="J468" s="15" t="s">
        <v>1084</v>
      </c>
      <c r="K468" s="15" t="s">
        <v>1046</v>
      </c>
      <c r="L468" s="15" t="s">
        <v>1085</v>
      </c>
      <c r="M468" s="16">
        <v>1</v>
      </c>
      <c r="N468" s="15" t="s">
        <v>150</v>
      </c>
    </row>
    <row r="469" spans="10:14">
      <c r="J469" s="15" t="s">
        <v>1086</v>
      </c>
      <c r="K469" s="15" t="s">
        <v>1046</v>
      </c>
      <c r="L469" s="15" t="s">
        <v>1087</v>
      </c>
      <c r="M469" s="16">
        <v>2</v>
      </c>
      <c r="N469" s="15" t="s">
        <v>69</v>
      </c>
    </row>
    <row r="470" spans="10:14">
      <c r="J470" s="15" t="s">
        <v>1088</v>
      </c>
      <c r="K470" s="15" t="s">
        <v>1046</v>
      </c>
      <c r="L470" s="15" t="s">
        <v>1089</v>
      </c>
      <c r="M470" s="16">
        <v>1</v>
      </c>
      <c r="N470" s="15" t="s">
        <v>150</v>
      </c>
    </row>
    <row r="471" spans="10:14">
      <c r="J471" s="15" t="s">
        <v>1090</v>
      </c>
      <c r="K471" s="15" t="s">
        <v>1046</v>
      </c>
      <c r="L471" s="15" t="s">
        <v>1091</v>
      </c>
      <c r="M471" s="16">
        <v>1</v>
      </c>
      <c r="N471" s="15" t="s">
        <v>150</v>
      </c>
    </row>
    <row r="472" spans="10:14">
      <c r="J472" s="15" t="s">
        <v>1092</v>
      </c>
      <c r="K472" s="15" t="s">
        <v>1046</v>
      </c>
      <c r="L472" s="15" t="s">
        <v>1093</v>
      </c>
      <c r="M472" s="16">
        <v>1</v>
      </c>
      <c r="N472" s="15" t="s">
        <v>150</v>
      </c>
    </row>
    <row r="473" spans="10:14">
      <c r="J473" s="15" t="s">
        <v>1094</v>
      </c>
      <c r="K473" s="15" t="s">
        <v>1046</v>
      </c>
      <c r="L473" s="15" t="s">
        <v>1095</v>
      </c>
      <c r="M473" s="16">
        <v>1</v>
      </c>
      <c r="N473" s="15" t="s">
        <v>150</v>
      </c>
    </row>
    <row r="474" spans="10:14">
      <c r="J474" s="15" t="s">
        <v>1096</v>
      </c>
      <c r="K474" s="15" t="s">
        <v>1046</v>
      </c>
      <c r="L474" s="15" t="s">
        <v>1097</v>
      </c>
      <c r="M474" s="16">
        <v>1</v>
      </c>
      <c r="N474" s="15" t="s">
        <v>150</v>
      </c>
    </row>
    <row r="475" spans="10:14">
      <c r="J475" s="15" t="s">
        <v>1098</v>
      </c>
      <c r="K475" s="15" t="s">
        <v>1046</v>
      </c>
      <c r="L475" s="15" t="s">
        <v>1099</v>
      </c>
      <c r="M475" s="16">
        <v>1</v>
      </c>
      <c r="N475" s="15" t="s">
        <v>150</v>
      </c>
    </row>
    <row r="476" spans="10:14">
      <c r="J476" s="15" t="s">
        <v>1100</v>
      </c>
      <c r="K476" s="15" t="s">
        <v>1046</v>
      </c>
      <c r="L476" s="15" t="s">
        <v>1101</v>
      </c>
      <c r="M476" s="16">
        <v>1</v>
      </c>
      <c r="N476" s="15" t="s">
        <v>150</v>
      </c>
    </row>
    <row r="477" spans="10:14">
      <c r="J477" s="15" t="s">
        <v>1102</v>
      </c>
      <c r="K477" s="15" t="s">
        <v>1046</v>
      </c>
      <c r="L477" s="15" t="s">
        <v>1103</v>
      </c>
      <c r="M477" s="16">
        <v>2</v>
      </c>
      <c r="N477" s="15" t="s">
        <v>69</v>
      </c>
    </row>
    <row r="478" spans="10:14">
      <c r="J478" s="15" t="s">
        <v>1104</v>
      </c>
      <c r="K478" s="15" t="s">
        <v>1046</v>
      </c>
      <c r="L478" s="15" t="s">
        <v>1105</v>
      </c>
      <c r="M478" s="16">
        <v>1</v>
      </c>
      <c r="N478" s="15" t="s">
        <v>150</v>
      </c>
    </row>
    <row r="479" spans="10:14">
      <c r="J479" s="15" t="s">
        <v>1106</v>
      </c>
      <c r="K479" s="15" t="s">
        <v>1046</v>
      </c>
      <c r="L479" s="15" t="s">
        <v>1107</v>
      </c>
      <c r="M479" s="16">
        <v>2</v>
      </c>
      <c r="N479" s="15" t="s">
        <v>69</v>
      </c>
    </row>
    <row r="480" spans="10:14">
      <c r="J480" s="15" t="s">
        <v>1108</v>
      </c>
      <c r="K480" s="15" t="s">
        <v>1046</v>
      </c>
      <c r="L480" s="15" t="s">
        <v>1109</v>
      </c>
      <c r="M480" s="16">
        <v>2</v>
      </c>
      <c r="N480" s="15" t="s">
        <v>69</v>
      </c>
    </row>
    <row r="481" spans="10:14">
      <c r="J481" s="15" t="s">
        <v>1110</v>
      </c>
      <c r="K481" s="15" t="s">
        <v>1046</v>
      </c>
      <c r="L481" s="15" t="s">
        <v>1111</v>
      </c>
      <c r="M481" s="16">
        <v>2</v>
      </c>
      <c r="N481" s="15" t="s">
        <v>69</v>
      </c>
    </row>
    <row r="482" spans="10:14">
      <c r="J482" s="15" t="s">
        <v>1112</v>
      </c>
      <c r="K482" s="15" t="s">
        <v>1046</v>
      </c>
      <c r="L482" s="15" t="s">
        <v>1113</v>
      </c>
      <c r="M482" s="16">
        <v>2</v>
      </c>
      <c r="N482" s="15" t="s">
        <v>69</v>
      </c>
    </row>
    <row r="483" spans="10:14">
      <c r="J483" s="15" t="s">
        <v>1114</v>
      </c>
      <c r="K483" s="15" t="s">
        <v>1046</v>
      </c>
      <c r="L483" s="15" t="s">
        <v>1115</v>
      </c>
      <c r="M483" s="16">
        <v>1</v>
      </c>
      <c r="N483" s="15" t="s">
        <v>150</v>
      </c>
    </row>
    <row r="484" spans="10:14">
      <c r="J484" s="15" t="s">
        <v>1116</v>
      </c>
      <c r="K484" s="15" t="s">
        <v>1046</v>
      </c>
      <c r="L484" s="15" t="s">
        <v>1117</v>
      </c>
      <c r="M484" s="16">
        <v>1</v>
      </c>
      <c r="N484" s="15" t="s">
        <v>150</v>
      </c>
    </row>
    <row r="485" spans="10:14">
      <c r="J485" s="15" t="s">
        <v>1118</v>
      </c>
      <c r="K485" s="15" t="s">
        <v>1046</v>
      </c>
      <c r="L485" s="15" t="s">
        <v>1119</v>
      </c>
      <c r="M485" s="16">
        <v>1</v>
      </c>
      <c r="N485" s="15" t="s">
        <v>150</v>
      </c>
    </row>
    <row r="486" spans="10:14">
      <c r="J486" s="15" t="s">
        <v>1120</v>
      </c>
      <c r="K486" s="15" t="s">
        <v>1046</v>
      </c>
      <c r="L486" s="15" t="s">
        <v>1121</v>
      </c>
      <c r="M486" s="16">
        <v>1</v>
      </c>
      <c r="N486" s="15" t="s">
        <v>150</v>
      </c>
    </row>
    <row r="487" spans="10:14">
      <c r="J487" s="15" t="s">
        <v>1122</v>
      </c>
      <c r="K487" s="15" t="s">
        <v>1046</v>
      </c>
      <c r="L487" s="15" t="s">
        <v>1123</v>
      </c>
      <c r="M487" s="16">
        <v>1</v>
      </c>
      <c r="N487" s="15" t="s">
        <v>150</v>
      </c>
    </row>
    <row r="488" spans="10:14">
      <c r="J488" s="15" t="s">
        <v>1124</v>
      </c>
      <c r="K488" s="15" t="s">
        <v>34</v>
      </c>
      <c r="L488" s="15" t="s">
        <v>1125</v>
      </c>
      <c r="M488" s="16">
        <v>2</v>
      </c>
      <c r="N488" s="15" t="s">
        <v>69</v>
      </c>
    </row>
    <row r="489" spans="10:14">
      <c r="J489" s="15" t="s">
        <v>1126</v>
      </c>
      <c r="K489" s="15" t="s">
        <v>34</v>
      </c>
      <c r="L489" s="15" t="s">
        <v>1127</v>
      </c>
      <c r="M489" s="16">
        <v>1</v>
      </c>
      <c r="N489" s="15" t="s">
        <v>150</v>
      </c>
    </row>
    <row r="490" spans="10:14">
      <c r="J490" s="15" t="s">
        <v>1128</v>
      </c>
      <c r="K490" s="15" t="s">
        <v>34</v>
      </c>
      <c r="L490" s="15" t="s">
        <v>1129</v>
      </c>
      <c r="M490" s="16">
        <v>4</v>
      </c>
      <c r="N490" s="15" t="s">
        <v>93</v>
      </c>
    </row>
    <row r="491" spans="10:14">
      <c r="J491" s="15" t="s">
        <v>1130</v>
      </c>
      <c r="K491" s="15" t="s">
        <v>34</v>
      </c>
      <c r="L491" s="15" t="s">
        <v>1131</v>
      </c>
      <c r="M491" s="16">
        <v>2</v>
      </c>
      <c r="N491" s="15" t="s">
        <v>69</v>
      </c>
    </row>
    <row r="492" spans="10:14">
      <c r="J492" s="15" t="s">
        <v>1132</v>
      </c>
      <c r="K492" s="15" t="s">
        <v>34</v>
      </c>
      <c r="L492" s="15" t="s">
        <v>1133</v>
      </c>
      <c r="M492" s="16">
        <v>3</v>
      </c>
      <c r="N492" s="15" t="s">
        <v>65</v>
      </c>
    </row>
    <row r="493" spans="10:14">
      <c r="J493" s="15" t="s">
        <v>1134</v>
      </c>
      <c r="K493" s="15" t="s">
        <v>34</v>
      </c>
      <c r="L493" s="15" t="s">
        <v>1135</v>
      </c>
      <c r="M493" s="16">
        <v>4</v>
      </c>
      <c r="N493" s="15" t="s">
        <v>93</v>
      </c>
    </row>
    <row r="494" spans="10:14">
      <c r="J494" s="15" t="s">
        <v>1136</v>
      </c>
      <c r="K494" s="15" t="s">
        <v>34</v>
      </c>
      <c r="L494" s="15" t="s">
        <v>1137</v>
      </c>
      <c r="M494" s="16">
        <v>1</v>
      </c>
      <c r="N494" s="15" t="s">
        <v>150</v>
      </c>
    </row>
    <row r="495" spans="10:14">
      <c r="J495" s="15" t="s">
        <v>1138</v>
      </c>
      <c r="K495" s="15" t="s">
        <v>34</v>
      </c>
      <c r="L495" s="15" t="s">
        <v>1139</v>
      </c>
      <c r="M495" s="16">
        <v>2</v>
      </c>
      <c r="N495" s="15" t="s">
        <v>69</v>
      </c>
    </row>
    <row r="496" spans="10:14">
      <c r="J496" s="15" t="s">
        <v>1140</v>
      </c>
      <c r="K496" s="15" t="s">
        <v>34</v>
      </c>
      <c r="L496" s="15" t="s">
        <v>1141</v>
      </c>
      <c r="M496" s="16">
        <v>1</v>
      </c>
      <c r="N496" s="15" t="s">
        <v>150</v>
      </c>
    </row>
    <row r="497" spans="10:14">
      <c r="J497" s="15" t="s">
        <v>1142</v>
      </c>
      <c r="K497" s="15" t="s">
        <v>34</v>
      </c>
      <c r="L497" s="15" t="s">
        <v>1143</v>
      </c>
      <c r="M497" s="16">
        <v>1</v>
      </c>
      <c r="N497" s="15" t="s">
        <v>150</v>
      </c>
    </row>
    <row r="498" spans="10:14">
      <c r="J498" s="15" t="s">
        <v>1144</v>
      </c>
      <c r="K498" s="15" t="s">
        <v>34</v>
      </c>
      <c r="L498" s="15" t="s">
        <v>1145</v>
      </c>
      <c r="M498" s="16">
        <v>2</v>
      </c>
      <c r="N498" s="15" t="s">
        <v>69</v>
      </c>
    </row>
    <row r="499" spans="10:14">
      <c r="J499" s="15" t="s">
        <v>1146</v>
      </c>
      <c r="K499" s="15" t="s">
        <v>34</v>
      </c>
      <c r="L499" s="15" t="s">
        <v>1147</v>
      </c>
      <c r="M499" s="16">
        <v>2</v>
      </c>
      <c r="N499" s="15" t="s">
        <v>69</v>
      </c>
    </row>
    <row r="500" spans="10:14">
      <c r="J500" s="15" t="s">
        <v>1148</v>
      </c>
      <c r="K500" s="15" t="s">
        <v>34</v>
      </c>
      <c r="L500" s="15" t="s">
        <v>1149</v>
      </c>
      <c r="M500" s="16">
        <v>1</v>
      </c>
      <c r="N500" s="15" t="s">
        <v>150</v>
      </c>
    </row>
    <row r="501" spans="10:14">
      <c r="J501" s="15" t="s">
        <v>1150</v>
      </c>
      <c r="K501" s="15" t="s">
        <v>34</v>
      </c>
      <c r="L501" s="15" t="s">
        <v>1151</v>
      </c>
      <c r="M501" s="16">
        <v>1</v>
      </c>
      <c r="N501" s="15" t="s">
        <v>150</v>
      </c>
    </row>
    <row r="502" spans="10:14">
      <c r="J502" s="15" t="s">
        <v>1152</v>
      </c>
      <c r="K502" s="15" t="s">
        <v>34</v>
      </c>
      <c r="L502" s="15" t="s">
        <v>1153</v>
      </c>
      <c r="M502" s="16">
        <v>2</v>
      </c>
      <c r="N502" s="15" t="s">
        <v>69</v>
      </c>
    </row>
    <row r="503" spans="10:14">
      <c r="J503" s="15" t="s">
        <v>1154</v>
      </c>
      <c r="K503" s="15" t="s">
        <v>34</v>
      </c>
      <c r="L503" s="15" t="s">
        <v>1155</v>
      </c>
      <c r="M503" s="16">
        <v>2</v>
      </c>
      <c r="N503" s="15" t="s">
        <v>69</v>
      </c>
    </row>
    <row r="504" spans="10:14">
      <c r="J504" s="15" t="s">
        <v>1156</v>
      </c>
      <c r="K504" s="15" t="s">
        <v>34</v>
      </c>
      <c r="L504" s="15" t="s">
        <v>1157</v>
      </c>
      <c r="M504" s="16">
        <v>1</v>
      </c>
      <c r="N504" s="15" t="s">
        <v>150</v>
      </c>
    </row>
    <row r="505" spans="10:14">
      <c r="J505" s="15" t="s">
        <v>1158</v>
      </c>
      <c r="K505" s="15" t="s">
        <v>34</v>
      </c>
      <c r="L505" s="15" t="s">
        <v>394</v>
      </c>
      <c r="M505" s="16">
        <v>2</v>
      </c>
      <c r="N505" s="15" t="s">
        <v>69</v>
      </c>
    </row>
    <row r="506" spans="10:14">
      <c r="J506" s="15" t="s">
        <v>1159</v>
      </c>
      <c r="K506" s="15" t="s">
        <v>34</v>
      </c>
      <c r="L506" s="15" t="s">
        <v>1160</v>
      </c>
      <c r="M506" s="16">
        <v>4</v>
      </c>
      <c r="N506" s="15" t="s">
        <v>93</v>
      </c>
    </row>
    <row r="507" spans="10:14">
      <c r="J507" s="15" t="s">
        <v>1161</v>
      </c>
      <c r="K507" s="15" t="s">
        <v>34</v>
      </c>
      <c r="L507" s="15" t="s">
        <v>1162</v>
      </c>
      <c r="M507" s="16">
        <v>5</v>
      </c>
      <c r="N507" s="15" t="s">
        <v>61</v>
      </c>
    </row>
    <row r="508" spans="10:14">
      <c r="J508" s="15" t="s">
        <v>1163</v>
      </c>
      <c r="K508" s="15" t="s">
        <v>34</v>
      </c>
      <c r="L508" s="15" t="s">
        <v>1164</v>
      </c>
      <c r="M508" s="16">
        <v>1</v>
      </c>
      <c r="N508" s="15" t="s">
        <v>150</v>
      </c>
    </row>
    <row r="509" spans="10:14">
      <c r="J509" s="15" t="s">
        <v>1165</v>
      </c>
      <c r="K509" s="15" t="s">
        <v>34</v>
      </c>
      <c r="L509" s="15" t="s">
        <v>1166</v>
      </c>
      <c r="M509" s="16">
        <v>2</v>
      </c>
      <c r="N509" s="15" t="s">
        <v>69</v>
      </c>
    </row>
    <row r="510" spans="10:14">
      <c r="J510" s="15" t="s">
        <v>1167</v>
      </c>
      <c r="K510" s="15" t="s">
        <v>34</v>
      </c>
      <c r="L510" s="15" t="s">
        <v>1168</v>
      </c>
      <c r="M510" s="16">
        <v>2</v>
      </c>
      <c r="N510" s="15" t="s">
        <v>69</v>
      </c>
    </row>
    <row r="511" spans="10:14">
      <c r="J511" s="15" t="s">
        <v>1169</v>
      </c>
      <c r="K511" s="15" t="s">
        <v>34</v>
      </c>
      <c r="L511" s="15" t="s">
        <v>1170</v>
      </c>
      <c r="M511" s="16">
        <v>1</v>
      </c>
      <c r="N511" s="15" t="s">
        <v>150</v>
      </c>
    </row>
    <row r="512" spans="10:14">
      <c r="J512" s="15" t="s">
        <v>1171</v>
      </c>
      <c r="K512" s="15" t="s">
        <v>34</v>
      </c>
      <c r="L512" s="15" t="s">
        <v>35</v>
      </c>
      <c r="M512" s="16">
        <v>3</v>
      </c>
      <c r="N512" s="15" t="s">
        <v>65</v>
      </c>
    </row>
    <row r="513" spans="10:14">
      <c r="J513" s="15" t="s">
        <v>1172</v>
      </c>
      <c r="K513" s="15" t="s">
        <v>34</v>
      </c>
      <c r="L513" s="15" t="s">
        <v>1173</v>
      </c>
      <c r="M513" s="16">
        <v>2</v>
      </c>
      <c r="N513" s="15" t="s">
        <v>69</v>
      </c>
    </row>
    <row r="514" spans="10:14">
      <c r="J514" s="15" t="s">
        <v>1174</v>
      </c>
      <c r="K514" s="15" t="s">
        <v>34</v>
      </c>
      <c r="L514" s="15" t="s">
        <v>1175</v>
      </c>
      <c r="M514" s="16">
        <v>2</v>
      </c>
      <c r="N514" s="15" t="s">
        <v>69</v>
      </c>
    </row>
    <row r="515" spans="10:14">
      <c r="J515" s="15" t="s">
        <v>1176</v>
      </c>
      <c r="K515" s="15" t="s">
        <v>34</v>
      </c>
      <c r="L515" s="15" t="s">
        <v>1177</v>
      </c>
      <c r="M515" s="16">
        <v>2</v>
      </c>
      <c r="N515" s="15" t="s">
        <v>69</v>
      </c>
    </row>
    <row r="516" spans="10:14">
      <c r="J516" s="15" t="s">
        <v>1178</v>
      </c>
      <c r="K516" s="15" t="s">
        <v>34</v>
      </c>
      <c r="L516" s="15" t="s">
        <v>1179</v>
      </c>
      <c r="M516" s="16">
        <v>2</v>
      </c>
      <c r="N516" s="15" t="s">
        <v>69</v>
      </c>
    </row>
    <row r="517" spans="10:14">
      <c r="J517" s="15" t="s">
        <v>1180</v>
      </c>
      <c r="K517" s="15" t="s">
        <v>34</v>
      </c>
      <c r="L517" s="15" t="s">
        <v>1181</v>
      </c>
      <c r="M517" s="16">
        <v>1</v>
      </c>
      <c r="N517" s="15" t="s">
        <v>150</v>
      </c>
    </row>
    <row r="518" spans="10:14">
      <c r="J518" s="15" t="s">
        <v>1182</v>
      </c>
      <c r="K518" s="15" t="s">
        <v>1183</v>
      </c>
      <c r="L518" s="15" t="s">
        <v>1184</v>
      </c>
      <c r="M518" s="16">
        <v>4</v>
      </c>
      <c r="N518" s="15" t="s">
        <v>93</v>
      </c>
    </row>
    <row r="519" spans="10:14">
      <c r="J519" s="15" t="s">
        <v>1185</v>
      </c>
      <c r="K519" s="15" t="s">
        <v>1183</v>
      </c>
      <c r="L519" s="15" t="s">
        <v>1186</v>
      </c>
      <c r="M519" s="16">
        <v>5</v>
      </c>
      <c r="N519" s="15" t="s">
        <v>61</v>
      </c>
    </row>
    <row r="520" spans="10:14">
      <c r="J520" s="15" t="s">
        <v>1187</v>
      </c>
      <c r="K520" s="15" t="s">
        <v>1183</v>
      </c>
      <c r="L520" s="15" t="s">
        <v>1188</v>
      </c>
      <c r="M520" s="16">
        <v>6</v>
      </c>
      <c r="N520" s="15" t="s">
        <v>81</v>
      </c>
    </row>
    <row r="521" spans="10:14">
      <c r="J521" s="15" t="s">
        <v>1189</v>
      </c>
      <c r="K521" s="15" t="s">
        <v>1183</v>
      </c>
      <c r="L521" s="15" t="s">
        <v>1190</v>
      </c>
      <c r="M521" s="16">
        <v>2</v>
      </c>
      <c r="N521" s="15" t="s">
        <v>69</v>
      </c>
    </row>
    <row r="522" spans="10:14">
      <c r="J522" s="15" t="s">
        <v>1191</v>
      </c>
      <c r="K522" s="15" t="s">
        <v>1183</v>
      </c>
      <c r="L522" s="15" t="s">
        <v>1192</v>
      </c>
      <c r="M522" s="16">
        <v>6</v>
      </c>
      <c r="N522" s="15" t="s">
        <v>81</v>
      </c>
    </row>
    <row r="523" spans="10:14">
      <c r="J523" s="15" t="s">
        <v>1193</v>
      </c>
      <c r="K523" s="15" t="s">
        <v>1183</v>
      </c>
      <c r="L523" s="15" t="s">
        <v>1194</v>
      </c>
      <c r="M523" s="16">
        <v>3</v>
      </c>
      <c r="N523" s="15" t="s">
        <v>65</v>
      </c>
    </row>
    <row r="524" spans="10:14">
      <c r="J524" s="15" t="s">
        <v>1195</v>
      </c>
      <c r="K524" s="15" t="s">
        <v>1183</v>
      </c>
      <c r="L524" s="15" t="s">
        <v>1196</v>
      </c>
      <c r="M524" s="16">
        <v>5</v>
      </c>
      <c r="N524" s="15" t="s">
        <v>61</v>
      </c>
    </row>
    <row r="525" spans="10:14">
      <c r="J525" s="15" t="s">
        <v>1197</v>
      </c>
      <c r="K525" s="15" t="s">
        <v>1183</v>
      </c>
      <c r="L525" s="15" t="s">
        <v>1198</v>
      </c>
      <c r="M525" s="16">
        <v>5</v>
      </c>
      <c r="N525" s="15" t="s">
        <v>61</v>
      </c>
    </row>
    <row r="526" spans="10:14">
      <c r="J526" s="15" t="s">
        <v>1199</v>
      </c>
      <c r="K526" s="15" t="s">
        <v>1183</v>
      </c>
      <c r="L526" s="15" t="s">
        <v>1200</v>
      </c>
      <c r="M526" s="16">
        <v>2</v>
      </c>
      <c r="N526" s="15" t="s">
        <v>69</v>
      </c>
    </row>
    <row r="527" spans="10:14">
      <c r="J527" s="15" t="s">
        <v>1201</v>
      </c>
      <c r="K527" s="15" t="s">
        <v>1183</v>
      </c>
      <c r="L527" s="15" t="s">
        <v>1202</v>
      </c>
      <c r="M527" s="16">
        <v>4</v>
      </c>
      <c r="N527" s="15" t="s">
        <v>93</v>
      </c>
    </row>
    <row r="528" spans="10:14">
      <c r="J528" s="15" t="s">
        <v>1203</v>
      </c>
      <c r="K528" s="15" t="s">
        <v>1183</v>
      </c>
      <c r="L528" s="15" t="s">
        <v>1204</v>
      </c>
      <c r="M528" s="16">
        <v>4</v>
      </c>
      <c r="N528" s="15" t="s">
        <v>93</v>
      </c>
    </row>
    <row r="529" spans="10:14">
      <c r="J529" s="15" t="s">
        <v>1205</v>
      </c>
      <c r="K529" s="15" t="s">
        <v>1206</v>
      </c>
      <c r="L529" s="15" t="s">
        <v>1207</v>
      </c>
      <c r="M529" s="16">
        <v>5</v>
      </c>
      <c r="N529" s="15" t="s">
        <v>61</v>
      </c>
    </row>
    <row r="530" spans="10:14">
      <c r="J530" s="15" t="s">
        <v>1208</v>
      </c>
      <c r="K530" s="15" t="s">
        <v>1206</v>
      </c>
      <c r="L530" s="15" t="s">
        <v>1209</v>
      </c>
      <c r="M530" s="16">
        <v>4</v>
      </c>
      <c r="N530" s="15" t="s">
        <v>93</v>
      </c>
    </row>
    <row r="531" spans="10:14">
      <c r="J531" s="15" t="s">
        <v>1210</v>
      </c>
      <c r="K531" s="15" t="s">
        <v>1206</v>
      </c>
      <c r="L531" s="15" t="s">
        <v>42</v>
      </c>
      <c r="M531" s="16">
        <v>2</v>
      </c>
      <c r="N531" s="15" t="s">
        <v>69</v>
      </c>
    </row>
    <row r="532" spans="10:14">
      <c r="J532" s="15" t="s">
        <v>1211</v>
      </c>
      <c r="K532" s="15" t="s">
        <v>1206</v>
      </c>
      <c r="L532" s="15" t="s">
        <v>1212</v>
      </c>
      <c r="M532" s="16">
        <v>5</v>
      </c>
      <c r="N532" s="15" t="s">
        <v>61</v>
      </c>
    </row>
    <row r="533" spans="10:14">
      <c r="J533" s="15" t="s">
        <v>1213</v>
      </c>
      <c r="K533" s="15" t="s">
        <v>1206</v>
      </c>
      <c r="L533" s="15" t="s">
        <v>1214</v>
      </c>
      <c r="M533" s="16">
        <v>2</v>
      </c>
      <c r="N533" s="15" t="s">
        <v>69</v>
      </c>
    </row>
    <row r="534" spans="10:14">
      <c r="J534" s="15" t="s">
        <v>1215</v>
      </c>
      <c r="K534" s="15" t="s">
        <v>1206</v>
      </c>
      <c r="L534" s="15" t="s">
        <v>642</v>
      </c>
      <c r="M534" s="16">
        <v>4</v>
      </c>
      <c r="N534" s="15" t="s">
        <v>93</v>
      </c>
    </row>
    <row r="535" spans="10:14">
      <c r="J535" s="15" t="s">
        <v>1216</v>
      </c>
      <c r="K535" s="15" t="s">
        <v>1217</v>
      </c>
      <c r="L535" s="15" t="s">
        <v>1218</v>
      </c>
      <c r="M535" s="16">
        <v>5</v>
      </c>
      <c r="N535" s="15" t="s">
        <v>61</v>
      </c>
    </row>
    <row r="536" spans="10:14">
      <c r="J536" s="15" t="s">
        <v>1219</v>
      </c>
      <c r="K536" s="15" t="s">
        <v>1217</v>
      </c>
      <c r="L536" s="15" t="s">
        <v>1220</v>
      </c>
      <c r="M536" s="16">
        <v>5</v>
      </c>
      <c r="N536" s="15" t="s">
        <v>61</v>
      </c>
    </row>
    <row r="537" spans="10:14">
      <c r="J537" s="15" t="s">
        <v>1221</v>
      </c>
      <c r="K537" s="15" t="s">
        <v>1217</v>
      </c>
      <c r="L537" s="15" t="s">
        <v>1222</v>
      </c>
      <c r="M537" s="16">
        <v>4</v>
      </c>
      <c r="N537" s="15" t="s">
        <v>93</v>
      </c>
    </row>
    <row r="538" spans="10:14">
      <c r="J538" s="15" t="s">
        <v>1223</v>
      </c>
      <c r="K538" s="15" t="s">
        <v>1217</v>
      </c>
      <c r="L538" s="15" t="s">
        <v>1224</v>
      </c>
      <c r="M538" s="16">
        <v>3</v>
      </c>
      <c r="N538" s="15" t="s">
        <v>65</v>
      </c>
    </row>
    <row r="539" spans="10:14">
      <c r="J539" s="15" t="s">
        <v>1225</v>
      </c>
      <c r="K539" s="15" t="s">
        <v>1217</v>
      </c>
      <c r="L539" s="15" t="s">
        <v>42</v>
      </c>
      <c r="M539" s="16">
        <v>2</v>
      </c>
      <c r="N539" s="15" t="s">
        <v>69</v>
      </c>
    </row>
    <row r="540" spans="10:14">
      <c r="J540" s="15" t="s">
        <v>1226</v>
      </c>
      <c r="K540" s="15" t="s">
        <v>1217</v>
      </c>
      <c r="L540" s="15" t="s">
        <v>1227</v>
      </c>
      <c r="M540" s="16">
        <v>5</v>
      </c>
      <c r="N540" s="15" t="s">
        <v>61</v>
      </c>
    </row>
    <row r="541" spans="10:14">
      <c r="J541" s="15" t="s">
        <v>1228</v>
      </c>
      <c r="K541" s="15" t="s">
        <v>1229</v>
      </c>
      <c r="L541" s="15" t="s">
        <v>1230</v>
      </c>
      <c r="M541" s="16">
        <v>6</v>
      </c>
      <c r="N541" s="15" t="s">
        <v>81</v>
      </c>
    </row>
    <row r="542" spans="10:14">
      <c r="J542" s="15" t="s">
        <v>1231</v>
      </c>
      <c r="K542" s="15" t="s">
        <v>1229</v>
      </c>
      <c r="L542" s="15" t="s">
        <v>1232</v>
      </c>
      <c r="M542" s="16">
        <v>6</v>
      </c>
      <c r="N542" s="15" t="s">
        <v>81</v>
      </c>
    </row>
    <row r="543" spans="10:14">
      <c r="J543" s="15" t="s">
        <v>1233</v>
      </c>
      <c r="K543" s="15" t="s">
        <v>1229</v>
      </c>
      <c r="L543" s="15" t="s">
        <v>1234</v>
      </c>
      <c r="M543" s="16">
        <v>6</v>
      </c>
      <c r="N543" s="15" t="s">
        <v>81</v>
      </c>
    </row>
    <row r="544" spans="10:14">
      <c r="J544" s="15" t="s">
        <v>1235</v>
      </c>
      <c r="K544" s="15" t="s">
        <v>1229</v>
      </c>
      <c r="L544" s="15" t="s">
        <v>1236</v>
      </c>
      <c r="M544" s="16">
        <v>5</v>
      </c>
      <c r="N544" s="15" t="s">
        <v>61</v>
      </c>
    </row>
    <row r="545" spans="10:14">
      <c r="J545" s="15" t="s">
        <v>1237</v>
      </c>
      <c r="K545" s="15" t="s">
        <v>1229</v>
      </c>
      <c r="L545" s="15" t="s">
        <v>42</v>
      </c>
      <c r="M545" s="16">
        <v>2</v>
      </c>
      <c r="N545" s="15" t="s">
        <v>69</v>
      </c>
    </row>
    <row r="546" spans="10:14">
      <c r="J546" s="15" t="s">
        <v>1238</v>
      </c>
      <c r="K546" s="15" t="s">
        <v>1229</v>
      </c>
      <c r="L546" s="15" t="s">
        <v>1239</v>
      </c>
      <c r="M546" s="16">
        <v>5</v>
      </c>
      <c r="N546" s="15" t="s">
        <v>61</v>
      </c>
    </row>
    <row r="547" spans="10:14">
      <c r="J547" s="15" t="s">
        <v>1240</v>
      </c>
      <c r="K547" s="15" t="s">
        <v>1229</v>
      </c>
      <c r="L547" s="15" t="s">
        <v>1241</v>
      </c>
      <c r="M547" s="16">
        <v>6</v>
      </c>
      <c r="N547" s="15" t="s">
        <v>81</v>
      </c>
    </row>
    <row r="548" spans="10:14">
      <c r="J548" s="15" t="s">
        <v>1242</v>
      </c>
      <c r="K548" s="15" t="s">
        <v>1229</v>
      </c>
      <c r="L548" s="15" t="s">
        <v>1243</v>
      </c>
      <c r="M548" s="16">
        <v>6</v>
      </c>
      <c r="N548" s="15" t="s">
        <v>81</v>
      </c>
    </row>
    <row r="549" spans="10:14">
      <c r="J549" s="15" t="s">
        <v>1244</v>
      </c>
      <c r="K549" s="15" t="s">
        <v>1245</v>
      </c>
      <c r="L549" s="15" t="s">
        <v>1246</v>
      </c>
      <c r="M549" s="16">
        <v>3</v>
      </c>
      <c r="N549" s="15" t="s">
        <v>65</v>
      </c>
    </row>
    <row r="550" spans="10:14">
      <c r="J550" s="15" t="s">
        <v>1247</v>
      </c>
      <c r="K550" s="15" t="s">
        <v>1245</v>
      </c>
      <c r="L550" s="15" t="s">
        <v>1248</v>
      </c>
      <c r="M550" s="16">
        <v>5</v>
      </c>
      <c r="N550" s="15" t="s">
        <v>61</v>
      </c>
    </row>
    <row r="551" spans="10:14">
      <c r="J551" s="15" t="s">
        <v>1249</v>
      </c>
      <c r="K551" s="15" t="s">
        <v>1245</v>
      </c>
      <c r="L551" s="15" t="s">
        <v>1250</v>
      </c>
      <c r="M551" s="16">
        <v>5</v>
      </c>
      <c r="N551" s="15" t="s">
        <v>61</v>
      </c>
    </row>
    <row r="552" spans="10:14">
      <c r="J552" s="15" t="s">
        <v>1251</v>
      </c>
      <c r="K552" s="15" t="s">
        <v>1245</v>
      </c>
      <c r="L552" s="15" t="s">
        <v>1252</v>
      </c>
      <c r="M552" s="16">
        <v>4</v>
      </c>
      <c r="N552" s="15" t="s">
        <v>93</v>
      </c>
    </row>
    <row r="553" spans="10:14">
      <c r="J553" s="15" t="s">
        <v>1253</v>
      </c>
      <c r="K553" s="15" t="s">
        <v>1245</v>
      </c>
      <c r="L553" s="15" t="s">
        <v>705</v>
      </c>
      <c r="M553" s="16">
        <v>4</v>
      </c>
      <c r="N553" s="15" t="s">
        <v>93</v>
      </c>
    </row>
    <row r="554" spans="10:14">
      <c r="J554" s="15" t="s">
        <v>1254</v>
      </c>
      <c r="K554" s="15" t="s">
        <v>1245</v>
      </c>
      <c r="L554" s="15" t="s">
        <v>1255</v>
      </c>
      <c r="M554" s="16">
        <v>5</v>
      </c>
      <c r="N554" s="15" t="s">
        <v>61</v>
      </c>
    </row>
    <row r="555" spans="10:14">
      <c r="J555" s="15" t="s">
        <v>1256</v>
      </c>
      <c r="K555" s="15" t="s">
        <v>1245</v>
      </c>
      <c r="L555" s="15" t="s">
        <v>1257</v>
      </c>
      <c r="M555" s="16">
        <v>4</v>
      </c>
      <c r="N555" s="15" t="s">
        <v>93</v>
      </c>
    </row>
    <row r="556" spans="10:14">
      <c r="J556" s="15" t="s">
        <v>1258</v>
      </c>
      <c r="K556" s="15" t="s">
        <v>1245</v>
      </c>
      <c r="L556" s="15" t="s">
        <v>1259</v>
      </c>
      <c r="M556" s="16">
        <v>4</v>
      </c>
      <c r="N556" s="15" t="s">
        <v>93</v>
      </c>
    </row>
    <row r="557" spans="10:14">
      <c r="J557" s="15" t="s">
        <v>1260</v>
      </c>
      <c r="K557" s="15" t="s">
        <v>1245</v>
      </c>
      <c r="L557" s="15" t="s">
        <v>1261</v>
      </c>
      <c r="M557" s="16">
        <v>4</v>
      </c>
      <c r="N557" s="15" t="s">
        <v>93</v>
      </c>
    </row>
    <row r="558" spans="10:14">
      <c r="J558" s="15" t="s">
        <v>1262</v>
      </c>
      <c r="K558" s="15" t="s">
        <v>1245</v>
      </c>
      <c r="L558" s="15" t="s">
        <v>1263</v>
      </c>
      <c r="M558" s="16">
        <v>6</v>
      </c>
      <c r="N558" s="15" t="s">
        <v>81</v>
      </c>
    </row>
    <row r="559" spans="10:14">
      <c r="J559" s="15" t="s">
        <v>1264</v>
      </c>
      <c r="K559" s="15" t="s">
        <v>1245</v>
      </c>
      <c r="L559" s="15" t="s">
        <v>1265</v>
      </c>
      <c r="M559" s="16">
        <v>4</v>
      </c>
      <c r="N559" s="15" t="s">
        <v>93</v>
      </c>
    </row>
    <row r="560" spans="10:14">
      <c r="J560" s="15" t="s">
        <v>1266</v>
      </c>
      <c r="K560" s="15" t="s">
        <v>1245</v>
      </c>
      <c r="L560" s="15" t="s">
        <v>1267</v>
      </c>
      <c r="M560" s="16">
        <v>4</v>
      </c>
      <c r="N560" s="15" t="s">
        <v>93</v>
      </c>
    </row>
    <row r="561" spans="10:14">
      <c r="J561" s="15" t="s">
        <v>1268</v>
      </c>
      <c r="K561" s="15" t="s">
        <v>1245</v>
      </c>
      <c r="L561" s="15" t="s">
        <v>1269</v>
      </c>
      <c r="M561" s="16">
        <v>4</v>
      </c>
      <c r="N561" s="15" t="s">
        <v>93</v>
      </c>
    </row>
    <row r="562" spans="10:14">
      <c r="J562" s="15" t="s">
        <v>1270</v>
      </c>
      <c r="K562" s="15" t="s">
        <v>1245</v>
      </c>
      <c r="L562" s="15" t="s">
        <v>1271</v>
      </c>
      <c r="M562" s="16">
        <v>5</v>
      </c>
      <c r="N562" s="15" t="s">
        <v>61</v>
      </c>
    </row>
    <row r="563" spans="10:14">
      <c r="J563" s="15" t="s">
        <v>1272</v>
      </c>
      <c r="K563" s="15" t="s">
        <v>1245</v>
      </c>
      <c r="L563" s="15" t="s">
        <v>42</v>
      </c>
      <c r="M563" s="16">
        <v>2</v>
      </c>
      <c r="N563" s="15" t="s">
        <v>69</v>
      </c>
    </row>
    <row r="564" spans="10:14">
      <c r="J564" s="15" t="s">
        <v>1273</v>
      </c>
      <c r="K564" s="15" t="s">
        <v>1245</v>
      </c>
      <c r="L564" s="15" t="s">
        <v>1274</v>
      </c>
      <c r="M564" s="16">
        <v>5</v>
      </c>
      <c r="N564" s="15" t="s">
        <v>61</v>
      </c>
    </row>
    <row r="565" spans="10:14">
      <c r="J565" s="15" t="s">
        <v>1275</v>
      </c>
      <c r="K565" s="15" t="s">
        <v>1245</v>
      </c>
      <c r="L565" s="15" t="s">
        <v>1276</v>
      </c>
      <c r="M565" s="16">
        <v>3</v>
      </c>
      <c r="N565" s="15" t="s">
        <v>65</v>
      </c>
    </row>
    <row r="566" spans="10:14">
      <c r="J566" s="15" t="s">
        <v>1277</v>
      </c>
      <c r="K566" s="15" t="s">
        <v>1245</v>
      </c>
      <c r="L566" s="15" t="s">
        <v>1278</v>
      </c>
      <c r="M566" s="16">
        <v>6</v>
      </c>
      <c r="N566" s="15" t="s">
        <v>81</v>
      </c>
    </row>
    <row r="567" spans="10:14">
      <c r="J567" s="15" t="s">
        <v>1279</v>
      </c>
      <c r="K567" s="15" t="s">
        <v>1245</v>
      </c>
      <c r="L567" s="15" t="s">
        <v>1280</v>
      </c>
      <c r="M567" s="16">
        <v>4</v>
      </c>
      <c r="N567" s="15" t="s">
        <v>93</v>
      </c>
    </row>
    <row r="568" spans="10:14">
      <c r="J568" s="15" t="s">
        <v>1281</v>
      </c>
      <c r="K568" s="15" t="s">
        <v>1245</v>
      </c>
      <c r="L568" s="15" t="s">
        <v>1282</v>
      </c>
      <c r="M568" s="16">
        <v>3</v>
      </c>
      <c r="N568" s="15" t="s">
        <v>65</v>
      </c>
    </row>
    <row r="569" spans="10:14">
      <c r="J569" s="15" t="s">
        <v>1283</v>
      </c>
      <c r="K569" s="15" t="s">
        <v>1284</v>
      </c>
      <c r="L569" s="15" t="s">
        <v>1285</v>
      </c>
      <c r="M569" s="16">
        <v>5</v>
      </c>
      <c r="N569" s="15" t="s">
        <v>61</v>
      </c>
    </row>
    <row r="570" spans="10:14">
      <c r="J570" s="15" t="s">
        <v>1286</v>
      </c>
      <c r="K570" s="15" t="s">
        <v>1284</v>
      </c>
      <c r="L570" s="15" t="s">
        <v>1287</v>
      </c>
      <c r="M570" s="16">
        <v>4</v>
      </c>
      <c r="N570" s="15" t="s">
        <v>93</v>
      </c>
    </row>
    <row r="571" spans="10:14">
      <c r="J571" s="15" t="s">
        <v>1288</v>
      </c>
      <c r="K571" s="15" t="s">
        <v>1284</v>
      </c>
      <c r="L571" s="15" t="s">
        <v>1289</v>
      </c>
      <c r="M571" s="16">
        <v>3</v>
      </c>
      <c r="N571" s="15" t="s">
        <v>65</v>
      </c>
    </row>
    <row r="572" spans="10:14">
      <c r="J572" s="15" t="s">
        <v>1290</v>
      </c>
      <c r="K572" s="15" t="s">
        <v>1284</v>
      </c>
      <c r="L572" s="15" t="s">
        <v>1291</v>
      </c>
      <c r="M572" s="16">
        <v>5</v>
      </c>
      <c r="N572" s="15" t="s">
        <v>61</v>
      </c>
    </row>
    <row r="573" spans="10:14">
      <c r="J573" s="15" t="s">
        <v>1292</v>
      </c>
      <c r="K573" s="15" t="s">
        <v>1284</v>
      </c>
      <c r="L573" s="15" t="s">
        <v>1293</v>
      </c>
      <c r="M573" s="16">
        <v>2</v>
      </c>
      <c r="N573" s="15" t="s">
        <v>69</v>
      </c>
    </row>
    <row r="574" spans="10:14">
      <c r="J574" s="15" t="s">
        <v>1294</v>
      </c>
      <c r="K574" s="15" t="s">
        <v>1284</v>
      </c>
      <c r="L574" s="15" t="s">
        <v>1295</v>
      </c>
      <c r="M574" s="16">
        <v>4</v>
      </c>
      <c r="N574" s="15" t="s">
        <v>93</v>
      </c>
    </row>
    <row r="575" spans="10:14">
      <c r="J575" s="15" t="s">
        <v>1296</v>
      </c>
      <c r="K575" s="15" t="s">
        <v>1284</v>
      </c>
      <c r="L575" s="15" t="s">
        <v>1297</v>
      </c>
      <c r="M575" s="16">
        <v>2</v>
      </c>
      <c r="N575" s="15" t="s">
        <v>69</v>
      </c>
    </row>
    <row r="576" spans="10:14">
      <c r="J576" s="15" t="s">
        <v>1298</v>
      </c>
      <c r="K576" s="15" t="s">
        <v>1284</v>
      </c>
      <c r="L576" s="15" t="s">
        <v>1299</v>
      </c>
      <c r="M576" s="16">
        <v>1</v>
      </c>
      <c r="N576" s="15" t="s">
        <v>150</v>
      </c>
    </row>
    <row r="577" spans="10:14">
      <c r="J577" s="15" t="s">
        <v>1300</v>
      </c>
      <c r="K577" s="15" t="s">
        <v>1284</v>
      </c>
      <c r="L577" s="15" t="s">
        <v>1301</v>
      </c>
      <c r="M577" s="16">
        <v>4</v>
      </c>
      <c r="N577" s="15" t="s">
        <v>93</v>
      </c>
    </row>
    <row r="578" spans="10:14">
      <c r="J578" s="15" t="s">
        <v>1302</v>
      </c>
      <c r="K578" s="15" t="s">
        <v>1284</v>
      </c>
      <c r="L578" s="15" t="s">
        <v>1274</v>
      </c>
      <c r="M578" s="16">
        <v>5</v>
      </c>
      <c r="N578" s="15" t="s">
        <v>61</v>
      </c>
    </row>
    <row r="579" spans="10:14">
      <c r="J579" s="15" t="s">
        <v>1303</v>
      </c>
      <c r="K579" s="15" t="s">
        <v>1284</v>
      </c>
      <c r="L579" s="15" t="s">
        <v>1304</v>
      </c>
      <c r="M579" s="16">
        <v>5</v>
      </c>
      <c r="N579" s="15" t="s">
        <v>61</v>
      </c>
    </row>
    <row r="580" spans="10:14">
      <c r="J580" s="15" t="s">
        <v>1305</v>
      </c>
      <c r="K580" s="15" t="s">
        <v>1284</v>
      </c>
      <c r="L580" s="15" t="s">
        <v>1306</v>
      </c>
      <c r="M580" s="16">
        <v>5</v>
      </c>
      <c r="N580" s="15" t="s">
        <v>61</v>
      </c>
    </row>
    <row r="581" spans="10:14">
      <c r="J581" s="15" t="s">
        <v>1307</v>
      </c>
      <c r="K581" s="15" t="s">
        <v>1284</v>
      </c>
      <c r="L581" s="15" t="s">
        <v>1308</v>
      </c>
      <c r="M581" s="16">
        <v>2</v>
      </c>
      <c r="N581" s="15" t="s">
        <v>69</v>
      </c>
    </row>
    <row r="582" spans="10:14">
      <c r="J582" s="15" t="s">
        <v>1309</v>
      </c>
      <c r="K582" s="15" t="s">
        <v>1284</v>
      </c>
      <c r="L582" s="15" t="s">
        <v>1310</v>
      </c>
      <c r="M582" s="16">
        <v>5</v>
      </c>
      <c r="N582" s="15" t="s">
        <v>61</v>
      </c>
    </row>
    <row r="583" spans="10:14">
      <c r="J583" s="15" t="s">
        <v>1311</v>
      </c>
      <c r="K583" s="15" t="s">
        <v>1284</v>
      </c>
      <c r="L583" s="15" t="s">
        <v>1312</v>
      </c>
      <c r="M583" s="16">
        <v>4</v>
      </c>
      <c r="N583" s="15" t="s">
        <v>93</v>
      </c>
    </row>
    <row r="584" spans="10:14">
      <c r="J584" s="15" t="s">
        <v>1313</v>
      </c>
      <c r="K584" s="15" t="s">
        <v>1284</v>
      </c>
      <c r="L584" s="15" t="s">
        <v>1314</v>
      </c>
      <c r="M584" s="16">
        <v>4</v>
      </c>
      <c r="N584" s="15" t="s">
        <v>93</v>
      </c>
    </row>
    <row r="585" spans="10:14">
      <c r="J585" s="15" t="s">
        <v>1315</v>
      </c>
      <c r="K585" s="15" t="s">
        <v>1316</v>
      </c>
      <c r="L585" s="15" t="s">
        <v>1317</v>
      </c>
      <c r="M585" s="16">
        <v>3</v>
      </c>
      <c r="N585" s="15" t="s">
        <v>65</v>
      </c>
    </row>
    <row r="586" spans="10:14">
      <c r="J586" s="15" t="s">
        <v>1318</v>
      </c>
      <c r="K586" s="15" t="s">
        <v>1316</v>
      </c>
      <c r="L586" s="15" t="s">
        <v>1319</v>
      </c>
      <c r="M586" s="16">
        <v>5</v>
      </c>
      <c r="N586" s="15" t="s">
        <v>61</v>
      </c>
    </row>
    <row r="587" spans="10:14">
      <c r="J587" s="15" t="s">
        <v>1320</v>
      </c>
      <c r="K587" s="15" t="s">
        <v>1316</v>
      </c>
      <c r="L587" s="15" t="s">
        <v>1321</v>
      </c>
      <c r="M587" s="16">
        <v>5</v>
      </c>
      <c r="N587" s="15" t="s">
        <v>61</v>
      </c>
    </row>
    <row r="588" spans="10:14">
      <c r="J588" s="15" t="s">
        <v>1322</v>
      </c>
      <c r="K588" s="15" t="s">
        <v>1316</v>
      </c>
      <c r="L588" s="15" t="s">
        <v>1323</v>
      </c>
      <c r="M588" s="16">
        <v>5</v>
      </c>
      <c r="N588" s="15" t="s">
        <v>61</v>
      </c>
    </row>
    <row r="589" spans="10:14">
      <c r="J589" s="15" t="s">
        <v>1324</v>
      </c>
      <c r="K589" s="15" t="s">
        <v>1316</v>
      </c>
      <c r="L589" s="15" t="s">
        <v>1325</v>
      </c>
      <c r="M589" s="16">
        <v>4</v>
      </c>
      <c r="N589" s="15" t="s">
        <v>93</v>
      </c>
    </row>
    <row r="590" spans="10:14">
      <c r="J590" s="15" t="s">
        <v>1326</v>
      </c>
      <c r="K590" s="15" t="s">
        <v>1316</v>
      </c>
      <c r="L590" s="15" t="s">
        <v>1327</v>
      </c>
      <c r="M590" s="16">
        <v>4</v>
      </c>
      <c r="N590" s="15" t="s">
        <v>93</v>
      </c>
    </row>
    <row r="591" spans="10:14">
      <c r="J591" s="15" t="s">
        <v>1328</v>
      </c>
      <c r="K591" s="15" t="s">
        <v>1316</v>
      </c>
      <c r="L591" s="15" t="s">
        <v>42</v>
      </c>
      <c r="M591" s="16">
        <v>2</v>
      </c>
      <c r="N591" s="15" t="s">
        <v>69</v>
      </c>
    </row>
    <row r="592" spans="10:14">
      <c r="J592" s="15" t="s">
        <v>1329</v>
      </c>
      <c r="K592" s="15" t="s">
        <v>1316</v>
      </c>
      <c r="L592" s="15" t="s">
        <v>1330</v>
      </c>
      <c r="M592" s="16">
        <v>5</v>
      </c>
      <c r="N592" s="15" t="s">
        <v>61</v>
      </c>
    </row>
    <row r="593" spans="10:14">
      <c r="J593" s="15" t="s">
        <v>1331</v>
      </c>
      <c r="K593" s="15" t="s">
        <v>1316</v>
      </c>
      <c r="L593" s="15" t="s">
        <v>1332</v>
      </c>
      <c r="M593" s="16">
        <v>1</v>
      </c>
      <c r="N593" s="15" t="s">
        <v>150</v>
      </c>
    </row>
    <row r="594" spans="10:14">
      <c r="J594" s="15" t="s">
        <v>1333</v>
      </c>
      <c r="K594" s="15" t="s">
        <v>1334</v>
      </c>
      <c r="L594" s="15" t="s">
        <v>1335</v>
      </c>
      <c r="M594" s="16">
        <v>3</v>
      </c>
      <c r="N594" s="15" t="s">
        <v>65</v>
      </c>
    </row>
    <row r="595" spans="10:14">
      <c r="J595" s="15" t="s">
        <v>1336</v>
      </c>
      <c r="K595" s="15" t="s">
        <v>1334</v>
      </c>
      <c r="L595" s="15" t="s">
        <v>1337</v>
      </c>
      <c r="M595" s="16">
        <v>4</v>
      </c>
      <c r="N595" s="15" t="s">
        <v>93</v>
      </c>
    </row>
    <row r="596" spans="10:14">
      <c r="J596" s="15" t="s">
        <v>1338</v>
      </c>
      <c r="K596" s="15" t="s">
        <v>1334</v>
      </c>
      <c r="L596" s="15" t="s">
        <v>1339</v>
      </c>
      <c r="M596" s="16">
        <v>5</v>
      </c>
      <c r="N596" s="15" t="s">
        <v>61</v>
      </c>
    </row>
    <row r="597" spans="10:14">
      <c r="J597" s="15" t="s">
        <v>1340</v>
      </c>
      <c r="K597" s="15" t="s">
        <v>1334</v>
      </c>
      <c r="L597" s="15" t="s">
        <v>1341</v>
      </c>
      <c r="M597" s="16">
        <v>2</v>
      </c>
      <c r="N597" s="15" t="s">
        <v>69</v>
      </c>
    </row>
    <row r="598" spans="10:14">
      <c r="J598" s="15" t="s">
        <v>1342</v>
      </c>
      <c r="K598" s="15" t="s">
        <v>1334</v>
      </c>
      <c r="L598" s="15" t="s">
        <v>42</v>
      </c>
      <c r="M598" s="16">
        <v>2</v>
      </c>
      <c r="N598" s="15" t="s">
        <v>69</v>
      </c>
    </row>
    <row r="599" spans="10:14">
      <c r="J599" s="15" t="s">
        <v>1343</v>
      </c>
      <c r="K599" s="15" t="s">
        <v>1334</v>
      </c>
      <c r="L599" s="15" t="s">
        <v>1344</v>
      </c>
      <c r="M599" s="16">
        <v>4</v>
      </c>
      <c r="N599" s="15" t="s">
        <v>93</v>
      </c>
    </row>
    <row r="600" spans="10:14">
      <c r="J600" s="15" t="s">
        <v>1345</v>
      </c>
      <c r="K600" s="15" t="s">
        <v>1334</v>
      </c>
      <c r="L600" s="15" t="s">
        <v>1346</v>
      </c>
      <c r="M600" s="16">
        <v>3</v>
      </c>
      <c r="N600" s="15" t="s">
        <v>65</v>
      </c>
    </row>
    <row r="601" spans="10:14">
      <c r="J601" s="15" t="s">
        <v>1347</v>
      </c>
      <c r="K601" s="15" t="s">
        <v>1334</v>
      </c>
      <c r="L601" s="15" t="s">
        <v>1348</v>
      </c>
      <c r="M601" s="16">
        <v>3</v>
      </c>
      <c r="N601" s="15" t="s">
        <v>65</v>
      </c>
    </row>
    <row r="602" spans="10:14">
      <c r="J602" s="15" t="s">
        <v>1349</v>
      </c>
      <c r="K602" s="15" t="s">
        <v>1350</v>
      </c>
      <c r="L602" s="15" t="s">
        <v>1351</v>
      </c>
      <c r="M602" s="16">
        <v>5</v>
      </c>
      <c r="N602" s="15" t="s">
        <v>61</v>
      </c>
    </row>
    <row r="603" spans="10:14">
      <c r="J603" s="15" t="s">
        <v>1352</v>
      </c>
      <c r="K603" s="15" t="s">
        <v>1350</v>
      </c>
      <c r="L603" s="15" t="s">
        <v>1353</v>
      </c>
      <c r="M603" s="16">
        <v>5</v>
      </c>
      <c r="N603" s="15" t="s">
        <v>61</v>
      </c>
    </row>
    <row r="604" spans="10:14">
      <c r="J604" s="15" t="s">
        <v>1354</v>
      </c>
      <c r="K604" s="15" t="s">
        <v>1350</v>
      </c>
      <c r="L604" s="15" t="s">
        <v>1355</v>
      </c>
      <c r="M604" s="16">
        <v>5</v>
      </c>
      <c r="N604" s="15" t="s">
        <v>61</v>
      </c>
    </row>
    <row r="605" spans="10:14">
      <c r="J605" s="15" t="s">
        <v>1356</v>
      </c>
      <c r="K605" s="15" t="s">
        <v>1350</v>
      </c>
      <c r="L605" s="15" t="s">
        <v>1357</v>
      </c>
      <c r="M605" s="16">
        <v>5</v>
      </c>
      <c r="N605" s="15" t="s">
        <v>61</v>
      </c>
    </row>
    <row r="606" spans="10:14">
      <c r="J606" s="15" t="s">
        <v>1358</v>
      </c>
      <c r="K606" s="15" t="s">
        <v>1350</v>
      </c>
      <c r="L606" s="15" t="s">
        <v>1359</v>
      </c>
      <c r="M606" s="16">
        <v>3</v>
      </c>
      <c r="N606" s="15" t="s">
        <v>65</v>
      </c>
    </row>
    <row r="607" spans="10:14">
      <c r="J607" s="15" t="s">
        <v>1360</v>
      </c>
      <c r="K607" s="15" t="s">
        <v>1350</v>
      </c>
      <c r="L607" s="15" t="s">
        <v>42</v>
      </c>
      <c r="M607" s="16">
        <v>2</v>
      </c>
      <c r="N607" s="15" t="s">
        <v>69</v>
      </c>
    </row>
    <row r="608" spans="10:14">
      <c r="J608" s="15" t="s">
        <v>1361</v>
      </c>
      <c r="K608" s="15" t="s">
        <v>1350</v>
      </c>
      <c r="L608" s="15" t="s">
        <v>1362</v>
      </c>
      <c r="M608" s="16">
        <v>4</v>
      </c>
      <c r="N608" s="15" t="s">
        <v>93</v>
      </c>
    </row>
    <row r="609" spans="10:14">
      <c r="J609" s="15" t="s">
        <v>1363</v>
      </c>
      <c r="K609" s="15" t="s">
        <v>1364</v>
      </c>
      <c r="L609" s="15" t="s">
        <v>1365</v>
      </c>
      <c r="M609" s="16">
        <v>6</v>
      </c>
      <c r="N609" s="15" t="s">
        <v>81</v>
      </c>
    </row>
    <row r="610" spans="10:14">
      <c r="J610" s="15" t="s">
        <v>1366</v>
      </c>
      <c r="K610" s="15" t="s">
        <v>1364</v>
      </c>
      <c r="L610" s="15" t="s">
        <v>42</v>
      </c>
      <c r="M610" s="16">
        <v>3</v>
      </c>
      <c r="N610" s="15" t="s">
        <v>65</v>
      </c>
    </row>
    <row r="611" spans="10:14">
      <c r="J611" s="15" t="s">
        <v>1367</v>
      </c>
      <c r="K611" s="15" t="s">
        <v>1364</v>
      </c>
      <c r="L611" s="15" t="s">
        <v>1368</v>
      </c>
      <c r="M611" s="16">
        <v>6</v>
      </c>
      <c r="N611" s="15" t="s">
        <v>81</v>
      </c>
    </row>
    <row r="612" spans="10:14">
      <c r="J612" s="15" t="s">
        <v>1369</v>
      </c>
      <c r="K612" s="15" t="s">
        <v>1364</v>
      </c>
      <c r="L612" s="15" t="s">
        <v>1370</v>
      </c>
      <c r="M612" s="16">
        <v>6</v>
      </c>
      <c r="N612" s="15" t="s">
        <v>81</v>
      </c>
    </row>
    <row r="613" spans="10:14">
      <c r="J613" s="15" t="s">
        <v>1371</v>
      </c>
      <c r="K613" s="15" t="s">
        <v>1372</v>
      </c>
      <c r="L613" s="15" t="s">
        <v>1373</v>
      </c>
      <c r="M613" s="16">
        <v>2</v>
      </c>
      <c r="N613" s="15" t="s">
        <v>69</v>
      </c>
    </row>
    <row r="614" spans="10:14">
      <c r="J614" s="15" t="s">
        <v>1374</v>
      </c>
      <c r="K614" s="15" t="s">
        <v>1372</v>
      </c>
      <c r="L614" s="15" t="s">
        <v>1375</v>
      </c>
      <c r="M614" s="16">
        <v>2</v>
      </c>
      <c r="N614" s="15" t="s">
        <v>69</v>
      </c>
    </row>
    <row r="615" spans="10:14">
      <c r="J615" s="15" t="s">
        <v>1376</v>
      </c>
      <c r="K615" s="15" t="s">
        <v>1372</v>
      </c>
      <c r="L615" s="15" t="s">
        <v>1377</v>
      </c>
      <c r="M615" s="16">
        <v>2</v>
      </c>
      <c r="N615" s="15" t="s">
        <v>69</v>
      </c>
    </row>
    <row r="616" spans="10:14">
      <c r="J616" s="15" t="s">
        <v>1378</v>
      </c>
      <c r="K616" s="15" t="s">
        <v>1372</v>
      </c>
      <c r="L616" s="15" t="s">
        <v>1379</v>
      </c>
      <c r="M616" s="16">
        <v>2</v>
      </c>
      <c r="N616" s="15" t="s">
        <v>69</v>
      </c>
    </row>
    <row r="617" spans="10:14">
      <c r="J617" s="15" t="s">
        <v>1380</v>
      </c>
      <c r="K617" s="15" t="s">
        <v>1372</v>
      </c>
      <c r="L617" s="15" t="s">
        <v>1381</v>
      </c>
      <c r="M617" s="16">
        <v>2</v>
      </c>
      <c r="N617" s="15" t="s">
        <v>69</v>
      </c>
    </row>
    <row r="618" spans="10:14">
      <c r="J618" s="15" t="s">
        <v>1382</v>
      </c>
      <c r="K618" s="15" t="s">
        <v>1372</v>
      </c>
      <c r="L618" s="15" t="s">
        <v>1383</v>
      </c>
      <c r="M618" s="16">
        <v>1</v>
      </c>
      <c r="N618" s="15" t="s">
        <v>150</v>
      </c>
    </row>
    <row r="619" spans="10:14">
      <c r="J619" s="15" t="s">
        <v>1384</v>
      </c>
      <c r="K619" s="15" t="s">
        <v>1372</v>
      </c>
      <c r="L619" s="15" t="s">
        <v>1385</v>
      </c>
      <c r="M619" s="16">
        <v>2</v>
      </c>
      <c r="N619" s="15" t="s">
        <v>69</v>
      </c>
    </row>
    <row r="620" spans="10:14">
      <c r="J620" s="15" t="s">
        <v>1386</v>
      </c>
      <c r="K620" s="15" t="s">
        <v>1372</v>
      </c>
      <c r="L620" s="15" t="s">
        <v>1387</v>
      </c>
      <c r="M620" s="16">
        <v>1</v>
      </c>
      <c r="N620" s="15" t="s">
        <v>150</v>
      </c>
    </row>
    <row r="621" spans="10:14">
      <c r="J621" s="15" t="s">
        <v>1388</v>
      </c>
      <c r="K621" s="15" t="s">
        <v>1372</v>
      </c>
      <c r="L621" s="15" t="s">
        <v>1389</v>
      </c>
      <c r="M621" s="16">
        <v>4</v>
      </c>
      <c r="N621" s="15" t="s">
        <v>93</v>
      </c>
    </row>
    <row r="622" spans="10:14">
      <c r="J622" s="15" t="s">
        <v>1390</v>
      </c>
      <c r="K622" s="15" t="s">
        <v>1372</v>
      </c>
      <c r="L622" s="15" t="s">
        <v>1391</v>
      </c>
      <c r="M622" s="16">
        <v>3</v>
      </c>
      <c r="N622" s="15" t="s">
        <v>65</v>
      </c>
    </row>
    <row r="623" spans="10:14">
      <c r="J623" s="15" t="s">
        <v>1392</v>
      </c>
      <c r="K623" s="15" t="s">
        <v>1372</v>
      </c>
      <c r="L623" s="15" t="s">
        <v>1393</v>
      </c>
      <c r="M623" s="16">
        <v>2</v>
      </c>
      <c r="N623" s="15" t="s">
        <v>69</v>
      </c>
    </row>
    <row r="624" spans="10:14">
      <c r="J624" s="15" t="s">
        <v>1394</v>
      </c>
      <c r="K624" s="15" t="s">
        <v>1372</v>
      </c>
      <c r="L624" s="15" t="s">
        <v>1395</v>
      </c>
      <c r="M624" s="16">
        <v>2</v>
      </c>
      <c r="N624" s="15" t="s">
        <v>69</v>
      </c>
    </row>
    <row r="625" spans="10:14">
      <c r="J625" s="15" t="s">
        <v>1396</v>
      </c>
      <c r="K625" s="15" t="s">
        <v>1397</v>
      </c>
      <c r="L625" s="15" t="s">
        <v>1398</v>
      </c>
      <c r="M625" s="16">
        <v>6</v>
      </c>
      <c r="N625" s="15" t="s">
        <v>81</v>
      </c>
    </row>
    <row r="626" spans="10:14">
      <c r="J626" s="15" t="s">
        <v>1399</v>
      </c>
      <c r="K626" s="15" t="s">
        <v>1397</v>
      </c>
      <c r="L626" s="15" t="s">
        <v>1400</v>
      </c>
      <c r="M626" s="16">
        <v>5</v>
      </c>
      <c r="N626" s="15" t="s">
        <v>61</v>
      </c>
    </row>
    <row r="627" spans="10:14">
      <c r="J627" s="15" t="s">
        <v>1401</v>
      </c>
      <c r="K627" s="15" t="s">
        <v>1397</v>
      </c>
      <c r="L627" s="15" t="s">
        <v>1402</v>
      </c>
      <c r="M627" s="16">
        <v>3</v>
      </c>
      <c r="N627" s="15" t="s">
        <v>65</v>
      </c>
    </row>
    <row r="628" spans="10:14">
      <c r="J628" s="15" t="s">
        <v>1403</v>
      </c>
      <c r="K628" s="15" t="s">
        <v>1397</v>
      </c>
      <c r="L628" s="15" t="s">
        <v>1404</v>
      </c>
      <c r="M628" s="16">
        <v>5</v>
      </c>
      <c r="N628" s="15" t="s">
        <v>61</v>
      </c>
    </row>
    <row r="629" spans="10:14">
      <c r="J629" s="15" t="s">
        <v>1405</v>
      </c>
      <c r="K629" s="15" t="s">
        <v>1397</v>
      </c>
      <c r="L629" s="15" t="s">
        <v>1406</v>
      </c>
      <c r="M629" s="16">
        <v>3</v>
      </c>
      <c r="N629" s="15" t="s">
        <v>65</v>
      </c>
    </row>
    <row r="630" spans="10:14">
      <c r="J630" s="15" t="s">
        <v>1407</v>
      </c>
      <c r="K630" s="15" t="s">
        <v>1397</v>
      </c>
      <c r="L630" s="15" t="s">
        <v>1408</v>
      </c>
      <c r="M630" s="16">
        <v>5</v>
      </c>
      <c r="N630" s="15" t="s">
        <v>61</v>
      </c>
    </row>
    <row r="631" spans="10:14">
      <c r="J631" s="15" t="s">
        <v>1409</v>
      </c>
      <c r="K631" s="15" t="s">
        <v>1397</v>
      </c>
      <c r="L631" s="15" t="s">
        <v>1410</v>
      </c>
      <c r="M631" s="16">
        <v>3</v>
      </c>
      <c r="N631" s="15" t="s">
        <v>65</v>
      </c>
    </row>
    <row r="632" spans="10:14">
      <c r="J632" s="15" t="s">
        <v>1411</v>
      </c>
      <c r="K632" s="15" t="s">
        <v>1397</v>
      </c>
      <c r="L632" s="15" t="s">
        <v>1412</v>
      </c>
      <c r="M632" s="16">
        <v>5</v>
      </c>
      <c r="N632" s="15" t="s">
        <v>61</v>
      </c>
    </row>
    <row r="633" spans="10:14">
      <c r="J633" s="15" t="s">
        <v>1413</v>
      </c>
      <c r="K633" s="15" t="s">
        <v>1397</v>
      </c>
      <c r="L633" s="15" t="s">
        <v>1414</v>
      </c>
      <c r="M633" s="16">
        <v>4</v>
      </c>
      <c r="N633" s="15" t="s">
        <v>93</v>
      </c>
    </row>
    <row r="634" spans="10:14">
      <c r="J634" s="15" t="s">
        <v>1415</v>
      </c>
      <c r="K634" s="15" t="s">
        <v>1397</v>
      </c>
      <c r="L634" s="15" t="s">
        <v>1416</v>
      </c>
      <c r="M634" s="16">
        <v>6</v>
      </c>
      <c r="N634" s="15" t="s">
        <v>81</v>
      </c>
    </row>
    <row r="635" spans="10:14">
      <c r="J635" s="15" t="s">
        <v>1417</v>
      </c>
      <c r="K635" s="15" t="s">
        <v>1397</v>
      </c>
      <c r="L635" s="15" t="s">
        <v>1418</v>
      </c>
      <c r="M635" s="16">
        <v>5</v>
      </c>
      <c r="N635" s="15" t="s">
        <v>61</v>
      </c>
    </row>
    <row r="636" spans="10:14">
      <c r="J636" s="15" t="s">
        <v>1419</v>
      </c>
      <c r="K636" s="15" t="s">
        <v>1397</v>
      </c>
      <c r="L636" s="15" t="s">
        <v>1420</v>
      </c>
      <c r="M636" s="16">
        <v>5</v>
      </c>
      <c r="N636" s="15" t="s">
        <v>61</v>
      </c>
    </row>
    <row r="637" spans="10:14">
      <c r="J637" s="15" t="s">
        <v>1421</v>
      </c>
      <c r="K637" s="15" t="s">
        <v>1397</v>
      </c>
      <c r="L637" s="15" t="s">
        <v>1422</v>
      </c>
      <c r="M637" s="16">
        <v>5</v>
      </c>
      <c r="N637" s="15" t="s">
        <v>61</v>
      </c>
    </row>
    <row r="638" spans="10:14">
      <c r="J638" s="15" t="s">
        <v>1423</v>
      </c>
      <c r="K638" s="15" t="s">
        <v>1397</v>
      </c>
      <c r="L638" s="15" t="s">
        <v>1424</v>
      </c>
      <c r="M638" s="16">
        <v>2</v>
      </c>
      <c r="N638" s="15" t="s">
        <v>69</v>
      </c>
    </row>
    <row r="639" spans="10:14">
      <c r="J639" s="15" t="s">
        <v>1425</v>
      </c>
      <c r="K639" s="15" t="s">
        <v>1397</v>
      </c>
      <c r="L639" s="15" t="s">
        <v>1426</v>
      </c>
      <c r="M639" s="16">
        <v>5</v>
      </c>
      <c r="N639" s="15" t="s">
        <v>61</v>
      </c>
    </row>
    <row r="640" spans="10:14">
      <c r="J640" s="15" t="s">
        <v>1427</v>
      </c>
      <c r="K640" s="15" t="s">
        <v>1397</v>
      </c>
      <c r="L640" s="15" t="s">
        <v>1428</v>
      </c>
      <c r="M640" s="16">
        <v>5</v>
      </c>
      <c r="N640" s="15" t="s">
        <v>61</v>
      </c>
    </row>
    <row r="641" spans="10:14">
      <c r="J641" s="15" t="s">
        <v>1429</v>
      </c>
      <c r="K641" s="15" t="s">
        <v>1397</v>
      </c>
      <c r="L641" s="15" t="s">
        <v>1430</v>
      </c>
      <c r="M641" s="16">
        <v>5</v>
      </c>
      <c r="N641" s="15" t="s">
        <v>61</v>
      </c>
    </row>
    <row r="642" spans="10:14">
      <c r="J642" s="15" t="s">
        <v>1431</v>
      </c>
      <c r="K642" s="15" t="s">
        <v>1397</v>
      </c>
      <c r="L642" s="15" t="s">
        <v>1432</v>
      </c>
      <c r="M642" s="16">
        <v>5</v>
      </c>
      <c r="N642" s="15" t="s">
        <v>61</v>
      </c>
    </row>
    <row r="643" spans="10:14">
      <c r="J643" s="15" t="s">
        <v>1433</v>
      </c>
      <c r="K643" s="15" t="s">
        <v>1397</v>
      </c>
      <c r="L643" s="15" t="s">
        <v>1434</v>
      </c>
      <c r="M643" s="16">
        <v>3</v>
      </c>
      <c r="N643" s="15" t="s">
        <v>65</v>
      </c>
    </row>
    <row r="644" spans="10:14">
      <c r="J644" s="15" t="s">
        <v>1435</v>
      </c>
      <c r="K644" s="15" t="s">
        <v>1397</v>
      </c>
      <c r="L644" s="15" t="s">
        <v>1436</v>
      </c>
      <c r="M644" s="16">
        <v>5</v>
      </c>
      <c r="N644" s="15" t="s">
        <v>61</v>
      </c>
    </row>
    <row r="645" spans="10:14">
      <c r="J645" s="15" t="s">
        <v>1437</v>
      </c>
      <c r="K645" s="15" t="s">
        <v>1397</v>
      </c>
      <c r="L645" s="15" t="s">
        <v>1438</v>
      </c>
      <c r="M645" s="16">
        <v>3</v>
      </c>
      <c r="N645" s="15" t="s">
        <v>65</v>
      </c>
    </row>
    <row r="646" spans="10:14">
      <c r="J646" s="15" t="s">
        <v>1439</v>
      </c>
      <c r="K646" s="15" t="s">
        <v>1397</v>
      </c>
      <c r="L646" s="15" t="s">
        <v>1440</v>
      </c>
      <c r="M646" s="16">
        <v>2</v>
      </c>
      <c r="N646" s="15" t="s">
        <v>69</v>
      </c>
    </row>
    <row r="647" spans="10:14">
      <c r="J647" s="15" t="s">
        <v>1441</v>
      </c>
      <c r="K647" s="15" t="s">
        <v>1397</v>
      </c>
      <c r="L647" s="15" t="s">
        <v>1442</v>
      </c>
      <c r="M647" s="16">
        <v>3</v>
      </c>
      <c r="N647" s="15" t="s">
        <v>65</v>
      </c>
    </row>
    <row r="648" spans="10:14">
      <c r="J648" s="15" t="s">
        <v>1443</v>
      </c>
      <c r="K648" s="15" t="s">
        <v>1397</v>
      </c>
      <c r="L648" s="15" t="s">
        <v>1444</v>
      </c>
      <c r="M648" s="16">
        <v>2</v>
      </c>
      <c r="N648" s="15" t="s">
        <v>69</v>
      </c>
    </row>
    <row r="649" spans="10:14">
      <c r="J649" s="15" t="s">
        <v>1445</v>
      </c>
      <c r="K649" s="15" t="s">
        <v>1397</v>
      </c>
      <c r="L649" s="15" t="s">
        <v>1446</v>
      </c>
      <c r="M649" s="16">
        <v>4</v>
      </c>
      <c r="N649" s="15" t="s">
        <v>93</v>
      </c>
    </row>
    <row r="650" spans="10:14">
      <c r="J650" s="15" t="s">
        <v>1447</v>
      </c>
      <c r="K650" s="15" t="s">
        <v>1397</v>
      </c>
      <c r="L650" s="15" t="s">
        <v>1448</v>
      </c>
      <c r="M650" s="16">
        <v>1</v>
      </c>
      <c r="N650" s="15" t="s">
        <v>150</v>
      </c>
    </row>
    <row r="651" spans="10:14">
      <c r="J651" s="15" t="s">
        <v>1449</v>
      </c>
      <c r="K651" s="15" t="s">
        <v>1397</v>
      </c>
      <c r="L651" s="15" t="s">
        <v>1450</v>
      </c>
      <c r="M651" s="16">
        <v>3</v>
      </c>
      <c r="N651" s="15" t="s">
        <v>65</v>
      </c>
    </row>
    <row r="652" spans="10:14">
      <c r="J652" s="15" t="s">
        <v>1451</v>
      </c>
      <c r="K652" s="15" t="s">
        <v>1397</v>
      </c>
      <c r="L652" s="15" t="s">
        <v>1452</v>
      </c>
      <c r="M652" s="16">
        <v>5</v>
      </c>
      <c r="N652" s="15" t="s">
        <v>61</v>
      </c>
    </row>
    <row r="653" spans="10:14">
      <c r="J653" s="15" t="s">
        <v>1453</v>
      </c>
      <c r="K653" s="15" t="s">
        <v>1397</v>
      </c>
      <c r="L653" s="15" t="s">
        <v>1454</v>
      </c>
      <c r="M653" s="16">
        <v>5</v>
      </c>
      <c r="N653" s="15" t="s">
        <v>61</v>
      </c>
    </row>
    <row r="654" spans="10:14">
      <c r="J654" s="15" t="s">
        <v>1455</v>
      </c>
      <c r="K654" s="15" t="s">
        <v>1397</v>
      </c>
      <c r="L654" s="15" t="s">
        <v>1456</v>
      </c>
      <c r="M654" s="16">
        <v>5</v>
      </c>
      <c r="N654" s="15" t="s">
        <v>61</v>
      </c>
    </row>
    <row r="655" spans="10:14">
      <c r="J655" s="15" t="s">
        <v>1457</v>
      </c>
      <c r="K655" s="15" t="s">
        <v>1397</v>
      </c>
      <c r="L655" s="15" t="s">
        <v>1458</v>
      </c>
      <c r="M655" s="16">
        <v>5</v>
      </c>
      <c r="N655" s="15" t="s">
        <v>61</v>
      </c>
    </row>
    <row r="656" spans="10:14">
      <c r="J656" s="15" t="s">
        <v>1459</v>
      </c>
      <c r="K656" s="15" t="s">
        <v>1460</v>
      </c>
      <c r="L656" s="15" t="s">
        <v>1461</v>
      </c>
      <c r="M656" s="16">
        <v>5</v>
      </c>
      <c r="N656" s="15" t="s">
        <v>61</v>
      </c>
    </row>
    <row r="657" spans="10:14">
      <c r="J657" s="15" t="s">
        <v>1462</v>
      </c>
      <c r="K657" s="15" t="s">
        <v>1460</v>
      </c>
      <c r="L657" s="15" t="s">
        <v>1463</v>
      </c>
      <c r="M657" s="16">
        <v>5</v>
      </c>
      <c r="N657" s="15" t="s">
        <v>61</v>
      </c>
    </row>
    <row r="658" spans="10:14">
      <c r="J658" s="15" t="s">
        <v>1464</v>
      </c>
      <c r="K658" s="15" t="s">
        <v>1460</v>
      </c>
      <c r="L658" s="15" t="s">
        <v>1465</v>
      </c>
      <c r="M658" s="16">
        <v>5</v>
      </c>
      <c r="N658" s="15" t="s">
        <v>61</v>
      </c>
    </row>
    <row r="659" spans="10:14">
      <c r="J659" s="15" t="s">
        <v>1466</v>
      </c>
      <c r="K659" s="15" t="s">
        <v>1460</v>
      </c>
      <c r="L659" s="15" t="s">
        <v>1467</v>
      </c>
      <c r="M659" s="16">
        <v>4</v>
      </c>
      <c r="N659" s="15" t="s">
        <v>93</v>
      </c>
    </row>
    <row r="660" spans="10:14">
      <c r="J660" s="15" t="s">
        <v>1468</v>
      </c>
      <c r="K660" s="15" t="s">
        <v>1460</v>
      </c>
      <c r="L660" s="15" t="s">
        <v>1469</v>
      </c>
      <c r="M660" s="16">
        <v>4</v>
      </c>
      <c r="N660" s="15" t="s">
        <v>93</v>
      </c>
    </row>
    <row r="661" spans="10:14">
      <c r="J661" s="15" t="s">
        <v>1470</v>
      </c>
      <c r="K661" s="15" t="s">
        <v>1460</v>
      </c>
      <c r="L661" s="15" t="s">
        <v>1471</v>
      </c>
      <c r="M661" s="16">
        <v>4</v>
      </c>
      <c r="N661" s="15" t="s">
        <v>93</v>
      </c>
    </row>
    <row r="662" spans="10:14">
      <c r="J662" s="15" t="s">
        <v>1472</v>
      </c>
      <c r="K662" s="15" t="s">
        <v>1460</v>
      </c>
      <c r="L662" s="15" t="s">
        <v>1473</v>
      </c>
      <c r="M662" s="16">
        <v>3</v>
      </c>
      <c r="N662" s="15" t="s">
        <v>65</v>
      </c>
    </row>
    <row r="663" spans="10:14">
      <c r="J663" s="15" t="s">
        <v>1474</v>
      </c>
      <c r="K663" s="15" t="s">
        <v>1460</v>
      </c>
      <c r="L663" s="15" t="s">
        <v>1475</v>
      </c>
      <c r="M663" s="16">
        <v>5</v>
      </c>
      <c r="N663" s="15" t="s">
        <v>61</v>
      </c>
    </row>
    <row r="664" spans="10:14">
      <c r="J664" s="15" t="s">
        <v>1476</v>
      </c>
      <c r="K664" s="15" t="s">
        <v>1460</v>
      </c>
      <c r="L664" s="15" t="s">
        <v>42</v>
      </c>
      <c r="M664" s="16">
        <v>2</v>
      </c>
      <c r="N664" s="15" t="s">
        <v>69</v>
      </c>
    </row>
    <row r="665" spans="10:14">
      <c r="J665" s="15" t="s">
        <v>1477</v>
      </c>
      <c r="K665" s="15" t="s">
        <v>1460</v>
      </c>
      <c r="L665" s="15" t="s">
        <v>1478</v>
      </c>
      <c r="M665" s="16">
        <v>5</v>
      </c>
      <c r="N665" s="15" t="s">
        <v>61</v>
      </c>
    </row>
    <row r="666" spans="10:14">
      <c r="J666" s="15" t="s">
        <v>1479</v>
      </c>
      <c r="K666" s="15" t="s">
        <v>1460</v>
      </c>
      <c r="L666" s="15" t="s">
        <v>1480</v>
      </c>
      <c r="M666" s="16">
        <v>3</v>
      </c>
      <c r="N666" s="15" t="s">
        <v>65</v>
      </c>
    </row>
    <row r="667" spans="10:14">
      <c r="J667" s="15" t="s">
        <v>1481</v>
      </c>
      <c r="K667" s="15" t="s">
        <v>1460</v>
      </c>
      <c r="L667" s="15" t="s">
        <v>1482</v>
      </c>
      <c r="M667" s="16">
        <v>5</v>
      </c>
      <c r="N667" s="15" t="s">
        <v>61</v>
      </c>
    </row>
    <row r="668" spans="10:14">
      <c r="J668" s="15" t="s">
        <v>1483</v>
      </c>
      <c r="K668" s="15" t="s">
        <v>1460</v>
      </c>
      <c r="L668" s="15" t="s">
        <v>1484</v>
      </c>
      <c r="M668" s="16">
        <v>3</v>
      </c>
      <c r="N668" s="15" t="s">
        <v>65</v>
      </c>
    </row>
    <row r="669" spans="10:14">
      <c r="J669" s="15" t="s">
        <v>1485</v>
      </c>
      <c r="K669" s="15" t="s">
        <v>1486</v>
      </c>
      <c r="L669" s="15" t="s">
        <v>1487</v>
      </c>
      <c r="M669" s="16">
        <v>5</v>
      </c>
      <c r="N669" s="15" t="s">
        <v>61</v>
      </c>
    </row>
    <row r="670" spans="10:14">
      <c r="J670" s="15" t="s">
        <v>1488</v>
      </c>
      <c r="K670" s="15" t="s">
        <v>1486</v>
      </c>
      <c r="L670" s="15" t="s">
        <v>1489</v>
      </c>
      <c r="M670" s="16">
        <v>4</v>
      </c>
      <c r="N670" s="15" t="s">
        <v>93</v>
      </c>
    </row>
    <row r="671" spans="10:14">
      <c r="J671" s="15" t="s">
        <v>1490</v>
      </c>
      <c r="K671" s="15" t="s">
        <v>1486</v>
      </c>
      <c r="L671" s="15" t="s">
        <v>1491</v>
      </c>
      <c r="M671" s="16">
        <v>6</v>
      </c>
      <c r="N671" s="15" t="s">
        <v>81</v>
      </c>
    </row>
    <row r="672" spans="10:14">
      <c r="J672" s="15" t="s">
        <v>1492</v>
      </c>
      <c r="K672" s="15" t="s">
        <v>1486</v>
      </c>
      <c r="L672" s="15" t="s">
        <v>1493</v>
      </c>
      <c r="M672" s="16">
        <v>2</v>
      </c>
      <c r="N672" s="15" t="s">
        <v>69</v>
      </c>
    </row>
    <row r="673" spans="10:14">
      <c r="J673" s="15" t="s">
        <v>1494</v>
      </c>
      <c r="K673" s="15" t="s">
        <v>1486</v>
      </c>
      <c r="L673" s="15" t="s">
        <v>1495</v>
      </c>
      <c r="M673" s="16">
        <v>4</v>
      </c>
      <c r="N673" s="15" t="s">
        <v>93</v>
      </c>
    </row>
    <row r="674" spans="10:14">
      <c r="J674" s="15" t="s">
        <v>1496</v>
      </c>
      <c r="K674" s="15" t="s">
        <v>1486</v>
      </c>
      <c r="L674" s="15" t="s">
        <v>1497</v>
      </c>
      <c r="M674" s="16">
        <v>5</v>
      </c>
      <c r="N674" s="15" t="s">
        <v>61</v>
      </c>
    </row>
    <row r="675" spans="10:14">
      <c r="J675" s="15" t="s">
        <v>1498</v>
      </c>
      <c r="K675" s="15" t="s">
        <v>1486</v>
      </c>
      <c r="L675" s="15" t="s">
        <v>1499</v>
      </c>
      <c r="M675" s="16">
        <v>6</v>
      </c>
      <c r="N675" s="15" t="s">
        <v>81</v>
      </c>
    </row>
    <row r="676" spans="10:14">
      <c r="J676" s="15" t="s">
        <v>1500</v>
      </c>
      <c r="K676" s="15" t="s">
        <v>1486</v>
      </c>
      <c r="L676" s="15" t="s">
        <v>1501</v>
      </c>
      <c r="M676" s="16">
        <v>5</v>
      </c>
      <c r="N676" s="15" t="s">
        <v>61</v>
      </c>
    </row>
    <row r="677" spans="10:14">
      <c r="J677" s="15" t="s">
        <v>1502</v>
      </c>
      <c r="K677" s="15" t="s">
        <v>1486</v>
      </c>
      <c r="L677" s="15" t="s">
        <v>721</v>
      </c>
      <c r="M677" s="16">
        <v>5</v>
      </c>
      <c r="N677" s="15" t="s">
        <v>61</v>
      </c>
    </row>
    <row r="678" spans="10:14">
      <c r="J678" s="15" t="s">
        <v>1503</v>
      </c>
      <c r="K678" s="15" t="s">
        <v>1486</v>
      </c>
      <c r="L678" s="15" t="s">
        <v>1504</v>
      </c>
      <c r="M678" s="16">
        <v>6</v>
      </c>
      <c r="N678" s="15" t="s">
        <v>81</v>
      </c>
    </row>
    <row r="679" spans="10:14">
      <c r="J679" s="15" t="s">
        <v>1505</v>
      </c>
      <c r="K679" s="15" t="s">
        <v>1486</v>
      </c>
      <c r="L679" s="15" t="s">
        <v>1506</v>
      </c>
      <c r="M679" s="16">
        <v>6</v>
      </c>
      <c r="N679" s="15" t="s">
        <v>81</v>
      </c>
    </row>
    <row r="680" spans="10:14">
      <c r="J680" s="15" t="s">
        <v>1507</v>
      </c>
      <c r="K680" s="15" t="s">
        <v>1486</v>
      </c>
      <c r="L680" s="15" t="s">
        <v>1508</v>
      </c>
      <c r="M680" s="16">
        <v>5</v>
      </c>
      <c r="N680" s="15" t="s">
        <v>61</v>
      </c>
    </row>
    <row r="681" spans="10:14">
      <c r="J681" s="15" t="s">
        <v>1509</v>
      </c>
      <c r="K681" s="15" t="s">
        <v>1486</v>
      </c>
      <c r="L681" s="15" t="s">
        <v>1510</v>
      </c>
      <c r="M681" s="16">
        <v>2</v>
      </c>
      <c r="N681" s="15" t="s">
        <v>69</v>
      </c>
    </row>
    <row r="682" spans="10:14">
      <c r="J682" s="15" t="s">
        <v>1511</v>
      </c>
      <c r="K682" s="15" t="s">
        <v>1512</v>
      </c>
      <c r="L682" s="15" t="s">
        <v>1513</v>
      </c>
      <c r="M682" s="16">
        <v>4</v>
      </c>
      <c r="N682" s="15" t="s">
        <v>93</v>
      </c>
    </row>
    <row r="683" spans="10:14">
      <c r="J683" s="15" t="s">
        <v>1514</v>
      </c>
      <c r="K683" s="15" t="s">
        <v>1512</v>
      </c>
      <c r="L683" s="15" t="s">
        <v>1515</v>
      </c>
      <c r="M683" s="16">
        <v>2</v>
      </c>
      <c r="N683" s="15" t="s">
        <v>69</v>
      </c>
    </row>
    <row r="684" spans="10:14">
      <c r="J684" s="15" t="s">
        <v>1516</v>
      </c>
      <c r="K684" s="15" t="s">
        <v>1512</v>
      </c>
      <c r="L684" s="15" t="s">
        <v>1517</v>
      </c>
      <c r="M684" s="16">
        <v>3</v>
      </c>
      <c r="N684" s="15" t="s">
        <v>65</v>
      </c>
    </row>
    <row r="685" spans="10:14">
      <c r="J685" s="15" t="s">
        <v>1518</v>
      </c>
      <c r="K685" s="15" t="s">
        <v>1512</v>
      </c>
      <c r="L685" s="15" t="s">
        <v>1519</v>
      </c>
      <c r="M685" s="16">
        <v>4</v>
      </c>
      <c r="N685" s="15" t="s">
        <v>93</v>
      </c>
    </row>
    <row r="686" spans="10:14">
      <c r="J686" s="15" t="s">
        <v>1520</v>
      </c>
      <c r="K686" s="15" t="s">
        <v>1512</v>
      </c>
      <c r="L686" s="15" t="s">
        <v>1521</v>
      </c>
      <c r="M686" s="16">
        <v>5</v>
      </c>
      <c r="N686" s="15" t="s">
        <v>61</v>
      </c>
    </row>
    <row r="687" spans="10:14">
      <c r="J687" s="15" t="s">
        <v>1522</v>
      </c>
      <c r="K687" s="15" t="s">
        <v>1512</v>
      </c>
      <c r="L687" s="15" t="s">
        <v>1523</v>
      </c>
      <c r="M687" s="16">
        <v>4</v>
      </c>
      <c r="N687" s="15" t="s">
        <v>93</v>
      </c>
    </row>
    <row r="688" spans="10:14">
      <c r="J688" s="15" t="s">
        <v>1524</v>
      </c>
      <c r="K688" s="15" t="s">
        <v>1512</v>
      </c>
      <c r="L688" s="15" t="s">
        <v>1525</v>
      </c>
      <c r="M688" s="16">
        <v>4</v>
      </c>
      <c r="N688" s="15" t="s">
        <v>93</v>
      </c>
    </row>
    <row r="689" spans="10:14">
      <c r="J689" s="15" t="s">
        <v>1526</v>
      </c>
      <c r="K689" s="15" t="s">
        <v>1512</v>
      </c>
      <c r="L689" s="15" t="s">
        <v>1527</v>
      </c>
      <c r="M689" s="16">
        <v>4</v>
      </c>
      <c r="N689" s="15" t="s">
        <v>93</v>
      </c>
    </row>
    <row r="690" spans="10:14">
      <c r="J690" s="15" t="s">
        <v>1528</v>
      </c>
      <c r="K690" s="15" t="s">
        <v>1512</v>
      </c>
      <c r="L690" s="15" t="s">
        <v>1529</v>
      </c>
      <c r="M690" s="16">
        <v>3</v>
      </c>
      <c r="N690" s="15" t="s">
        <v>65</v>
      </c>
    </row>
    <row r="691" spans="10:14">
      <c r="J691" s="15" t="s">
        <v>1530</v>
      </c>
      <c r="K691" s="15" t="s">
        <v>1512</v>
      </c>
      <c r="L691" s="15" t="s">
        <v>1531</v>
      </c>
      <c r="M691" s="16">
        <v>2</v>
      </c>
      <c r="N691" s="15" t="s">
        <v>69</v>
      </c>
    </row>
    <row r="692" spans="10:14">
      <c r="J692" s="15" t="s">
        <v>1532</v>
      </c>
      <c r="K692" s="15" t="s">
        <v>1512</v>
      </c>
      <c r="L692" s="15" t="s">
        <v>1533</v>
      </c>
      <c r="M692" s="16">
        <v>4</v>
      </c>
      <c r="N692" s="15" t="s">
        <v>93</v>
      </c>
    </row>
    <row r="693" spans="10:14">
      <c r="J693" s="15" t="s">
        <v>1534</v>
      </c>
      <c r="K693" s="15" t="s">
        <v>1512</v>
      </c>
      <c r="L693" s="15" t="s">
        <v>1535</v>
      </c>
      <c r="M693" s="16">
        <v>4</v>
      </c>
      <c r="N693" s="15" t="s">
        <v>93</v>
      </c>
    </row>
    <row r="694" spans="10:14">
      <c r="J694" s="15" t="s">
        <v>1536</v>
      </c>
      <c r="K694" s="15" t="s">
        <v>1512</v>
      </c>
      <c r="L694" s="15" t="s">
        <v>1537</v>
      </c>
      <c r="M694" s="16">
        <v>5</v>
      </c>
      <c r="N694" s="15" t="s">
        <v>61</v>
      </c>
    </row>
    <row r="695" spans="10:14">
      <c r="J695" s="15" t="s">
        <v>1538</v>
      </c>
      <c r="K695" s="15" t="s">
        <v>1512</v>
      </c>
      <c r="L695" s="15" t="s">
        <v>1539</v>
      </c>
      <c r="M695" s="16">
        <v>2</v>
      </c>
      <c r="N695" s="15" t="s">
        <v>69</v>
      </c>
    </row>
    <row r="696" spans="10:14">
      <c r="J696" s="15" t="s">
        <v>1540</v>
      </c>
      <c r="K696" s="15" t="s">
        <v>1512</v>
      </c>
      <c r="L696" s="15" t="s">
        <v>1541</v>
      </c>
      <c r="M696" s="16">
        <v>2</v>
      </c>
      <c r="N696" s="15" t="s">
        <v>69</v>
      </c>
    </row>
    <row r="697" spans="10:14">
      <c r="J697" s="15" t="s">
        <v>1542</v>
      </c>
      <c r="K697" s="15" t="s">
        <v>1512</v>
      </c>
      <c r="L697" s="15" t="s">
        <v>1543</v>
      </c>
      <c r="M697" s="16">
        <v>2</v>
      </c>
      <c r="N697" s="15" t="s">
        <v>69</v>
      </c>
    </row>
    <row r="698" spans="10:14">
      <c r="J698" s="15" t="s">
        <v>1544</v>
      </c>
      <c r="K698" s="15" t="s">
        <v>1512</v>
      </c>
      <c r="L698" s="15" t="s">
        <v>1545</v>
      </c>
      <c r="M698" s="16">
        <v>2</v>
      </c>
      <c r="N698" s="15" t="s">
        <v>69</v>
      </c>
    </row>
    <row r="699" spans="10:14">
      <c r="J699" s="15" t="s">
        <v>1546</v>
      </c>
      <c r="K699" s="15" t="s">
        <v>1547</v>
      </c>
      <c r="L699" s="15" t="s">
        <v>1548</v>
      </c>
      <c r="M699" s="16">
        <v>3</v>
      </c>
      <c r="N699" s="15" t="s">
        <v>65</v>
      </c>
    </row>
    <row r="700" spans="10:14">
      <c r="J700" s="15" t="s">
        <v>1549</v>
      </c>
      <c r="K700" s="15" t="s">
        <v>1547</v>
      </c>
      <c r="L700" s="15" t="s">
        <v>1550</v>
      </c>
      <c r="M700" s="16">
        <v>6</v>
      </c>
      <c r="N700" s="15" t="s">
        <v>81</v>
      </c>
    </row>
    <row r="701" spans="10:14">
      <c r="J701" s="15" t="s">
        <v>1551</v>
      </c>
      <c r="K701" s="15" t="s">
        <v>1547</v>
      </c>
      <c r="L701" s="15" t="s">
        <v>1552</v>
      </c>
      <c r="M701" s="16">
        <v>6</v>
      </c>
      <c r="N701" s="15" t="s">
        <v>81</v>
      </c>
    </row>
    <row r="702" spans="10:14">
      <c r="J702" s="15" t="s">
        <v>1553</v>
      </c>
      <c r="K702" s="15" t="s">
        <v>1547</v>
      </c>
      <c r="L702" s="15" t="s">
        <v>1554</v>
      </c>
      <c r="M702" s="16">
        <v>4</v>
      </c>
      <c r="N702" s="15" t="s">
        <v>93</v>
      </c>
    </row>
    <row r="703" spans="10:14">
      <c r="J703" s="15" t="s">
        <v>1555</v>
      </c>
      <c r="K703" s="15" t="s">
        <v>1547</v>
      </c>
      <c r="L703" s="15" t="s">
        <v>1556</v>
      </c>
      <c r="M703" s="16">
        <v>6</v>
      </c>
      <c r="N703" s="15" t="s">
        <v>81</v>
      </c>
    </row>
    <row r="704" spans="10:14">
      <c r="J704" s="15" t="s">
        <v>1557</v>
      </c>
      <c r="K704" s="15" t="s">
        <v>1547</v>
      </c>
      <c r="L704" s="15" t="s">
        <v>1558</v>
      </c>
      <c r="M704" s="16">
        <v>4</v>
      </c>
      <c r="N704" s="15" t="s">
        <v>93</v>
      </c>
    </row>
    <row r="705" spans="10:14">
      <c r="J705" s="15" t="s">
        <v>1559</v>
      </c>
      <c r="K705" s="15" t="s">
        <v>1547</v>
      </c>
      <c r="L705" s="15" t="s">
        <v>1560</v>
      </c>
      <c r="M705" s="16">
        <v>4</v>
      </c>
      <c r="N705" s="15" t="s">
        <v>93</v>
      </c>
    </row>
    <row r="706" spans="10:14">
      <c r="J706" s="15" t="s">
        <v>1561</v>
      </c>
      <c r="K706" s="15" t="s">
        <v>1547</v>
      </c>
      <c r="L706" s="15" t="s">
        <v>1562</v>
      </c>
      <c r="M706" s="16">
        <v>6</v>
      </c>
      <c r="N706" s="15" t="s">
        <v>81</v>
      </c>
    </row>
    <row r="707" spans="10:14">
      <c r="J707" s="15" t="s">
        <v>1563</v>
      </c>
      <c r="K707" s="15" t="s">
        <v>1547</v>
      </c>
      <c r="L707" s="15" t="s">
        <v>1564</v>
      </c>
      <c r="M707" s="16">
        <v>6</v>
      </c>
      <c r="N707" s="15" t="s">
        <v>81</v>
      </c>
    </row>
    <row r="708" spans="10:14">
      <c r="J708" s="15" t="s">
        <v>1565</v>
      </c>
      <c r="K708" s="15" t="s">
        <v>1547</v>
      </c>
      <c r="L708" s="15" t="s">
        <v>1566</v>
      </c>
      <c r="M708" s="16">
        <v>6</v>
      </c>
      <c r="N708" s="15" t="s">
        <v>81</v>
      </c>
    </row>
    <row r="709" spans="10:14">
      <c r="J709" s="15" t="s">
        <v>1567</v>
      </c>
      <c r="K709" s="15" t="s">
        <v>1568</v>
      </c>
      <c r="L709" s="15" t="s">
        <v>1569</v>
      </c>
      <c r="M709" s="16">
        <v>2</v>
      </c>
      <c r="N709" s="15" t="s">
        <v>69</v>
      </c>
    </row>
    <row r="710" spans="10:14">
      <c r="J710" s="15" t="s">
        <v>1570</v>
      </c>
      <c r="K710" s="15" t="s">
        <v>1568</v>
      </c>
      <c r="L710" s="15" t="s">
        <v>1571</v>
      </c>
      <c r="M710" s="16">
        <v>3</v>
      </c>
      <c r="N710" s="15" t="s">
        <v>65</v>
      </c>
    </row>
    <row r="711" spans="10:14">
      <c r="J711" s="15" t="s">
        <v>1572</v>
      </c>
      <c r="K711" s="15" t="s">
        <v>1568</v>
      </c>
      <c r="L711" s="15" t="s">
        <v>1573</v>
      </c>
      <c r="M711" s="16">
        <v>4</v>
      </c>
      <c r="N711" s="15" t="s">
        <v>93</v>
      </c>
    </row>
    <row r="712" spans="10:14">
      <c r="J712" s="15" t="s">
        <v>1574</v>
      </c>
      <c r="K712" s="15" t="s">
        <v>1568</v>
      </c>
      <c r="L712" s="15" t="s">
        <v>1575</v>
      </c>
      <c r="M712" s="16">
        <v>4</v>
      </c>
      <c r="N712" s="15" t="s">
        <v>93</v>
      </c>
    </row>
    <row r="713" spans="10:14">
      <c r="J713" s="15" t="s">
        <v>1576</v>
      </c>
      <c r="K713" s="15" t="s">
        <v>1568</v>
      </c>
      <c r="L713" s="15" t="s">
        <v>1577</v>
      </c>
      <c r="M713" s="16">
        <v>5</v>
      </c>
      <c r="N713" s="15" t="s">
        <v>61</v>
      </c>
    </row>
    <row r="714" spans="10:14">
      <c r="J714" s="15" t="s">
        <v>1578</v>
      </c>
      <c r="K714" s="15" t="s">
        <v>1568</v>
      </c>
      <c r="L714" s="15" t="s">
        <v>1579</v>
      </c>
      <c r="M714" s="16">
        <v>3</v>
      </c>
      <c r="N714" s="15" t="s">
        <v>65</v>
      </c>
    </row>
    <row r="715" spans="10:14">
      <c r="J715" s="15" t="s">
        <v>1580</v>
      </c>
      <c r="K715" s="15" t="s">
        <v>1568</v>
      </c>
      <c r="L715" s="15" t="s">
        <v>1581</v>
      </c>
      <c r="M715" s="16">
        <v>4</v>
      </c>
      <c r="N715" s="15" t="s">
        <v>93</v>
      </c>
    </row>
    <row r="716" spans="10:14">
      <c r="J716" s="15" t="s">
        <v>1582</v>
      </c>
      <c r="K716" s="15" t="s">
        <v>1568</v>
      </c>
      <c r="L716" s="15" t="s">
        <v>1583</v>
      </c>
      <c r="M716" s="16">
        <v>2</v>
      </c>
      <c r="N716" s="15" t="s">
        <v>69</v>
      </c>
    </row>
    <row r="717" spans="10:14">
      <c r="J717" s="15" t="s">
        <v>1584</v>
      </c>
      <c r="K717" s="15" t="s">
        <v>1568</v>
      </c>
      <c r="L717" s="15" t="s">
        <v>1585</v>
      </c>
      <c r="M717" s="16">
        <v>4</v>
      </c>
      <c r="N717" s="15" t="s">
        <v>93</v>
      </c>
    </row>
    <row r="718" spans="10:14">
      <c r="J718" s="15" t="s">
        <v>1586</v>
      </c>
      <c r="K718" s="15" t="s">
        <v>1568</v>
      </c>
      <c r="L718" s="15" t="s">
        <v>1587</v>
      </c>
      <c r="M718" s="16">
        <v>2</v>
      </c>
      <c r="N718" s="15" t="s">
        <v>69</v>
      </c>
    </row>
    <row r="719" spans="10:14">
      <c r="J719" s="15" t="s">
        <v>1588</v>
      </c>
      <c r="K719" s="15" t="s">
        <v>1568</v>
      </c>
      <c r="L719" s="15" t="s">
        <v>1589</v>
      </c>
      <c r="M719" s="16">
        <v>2</v>
      </c>
      <c r="N719" s="15" t="s">
        <v>69</v>
      </c>
    </row>
    <row r="720" spans="10:14">
      <c r="J720" s="15" t="s">
        <v>1590</v>
      </c>
      <c r="K720" s="15" t="s">
        <v>1568</v>
      </c>
      <c r="L720" s="15" t="s">
        <v>1591</v>
      </c>
      <c r="M720" s="16">
        <v>2</v>
      </c>
      <c r="N720" s="15" t="s">
        <v>69</v>
      </c>
    </row>
    <row r="721" spans="10:14">
      <c r="J721" s="15" t="s">
        <v>1592</v>
      </c>
      <c r="K721" s="15" t="s">
        <v>1568</v>
      </c>
      <c r="L721" s="15" t="s">
        <v>616</v>
      </c>
      <c r="M721" s="16">
        <v>1</v>
      </c>
      <c r="N721" s="15" t="s">
        <v>150</v>
      </c>
    </row>
    <row r="722" spans="10:14">
      <c r="J722" s="15" t="s">
        <v>1593</v>
      </c>
      <c r="K722" s="15" t="s">
        <v>1594</v>
      </c>
      <c r="L722" s="15" t="s">
        <v>1595</v>
      </c>
      <c r="M722" s="16">
        <v>1</v>
      </c>
      <c r="N722" s="15" t="s">
        <v>150</v>
      </c>
    </row>
    <row r="723" spans="10:14">
      <c r="J723" s="15" t="s">
        <v>1596</v>
      </c>
      <c r="K723" s="15" t="s">
        <v>1594</v>
      </c>
      <c r="L723" s="15" t="s">
        <v>1597</v>
      </c>
      <c r="M723" s="16">
        <v>2</v>
      </c>
      <c r="N723" s="15" t="s">
        <v>69</v>
      </c>
    </row>
    <row r="724" spans="10:14">
      <c r="J724" s="15" t="s">
        <v>1598</v>
      </c>
      <c r="K724" s="15" t="s">
        <v>1594</v>
      </c>
      <c r="L724" s="15" t="s">
        <v>1599</v>
      </c>
      <c r="M724" s="16">
        <v>2</v>
      </c>
      <c r="N724" s="15" t="s">
        <v>69</v>
      </c>
    </row>
    <row r="725" spans="10:14">
      <c r="J725" s="15" t="s">
        <v>1600</v>
      </c>
      <c r="K725" s="15" t="s">
        <v>1594</v>
      </c>
      <c r="L725" s="15" t="s">
        <v>1601</v>
      </c>
      <c r="M725" s="16">
        <v>2</v>
      </c>
      <c r="N725" s="15" t="s">
        <v>69</v>
      </c>
    </row>
    <row r="726" spans="10:14">
      <c r="J726" s="15" t="s">
        <v>1602</v>
      </c>
      <c r="K726" s="15" t="s">
        <v>1594</v>
      </c>
      <c r="L726" s="15" t="s">
        <v>1603</v>
      </c>
      <c r="M726" s="16">
        <v>4</v>
      </c>
      <c r="N726" s="15" t="s">
        <v>93</v>
      </c>
    </row>
    <row r="727" spans="10:14">
      <c r="J727" s="15" t="s">
        <v>1604</v>
      </c>
      <c r="K727" s="15" t="s">
        <v>1594</v>
      </c>
      <c r="L727" s="15" t="s">
        <v>1605</v>
      </c>
      <c r="M727" s="16">
        <v>3</v>
      </c>
      <c r="N727" s="15" t="s">
        <v>65</v>
      </c>
    </row>
    <row r="728" spans="10:14">
      <c r="J728" s="15" t="s">
        <v>1606</v>
      </c>
      <c r="K728" s="15" t="s">
        <v>1594</v>
      </c>
      <c r="L728" s="15" t="s">
        <v>1607</v>
      </c>
      <c r="M728" s="16">
        <v>1</v>
      </c>
      <c r="N728" s="15" t="s">
        <v>150</v>
      </c>
    </row>
    <row r="729" spans="10:14">
      <c r="J729" s="15" t="s">
        <v>1608</v>
      </c>
      <c r="K729" s="15" t="s">
        <v>1594</v>
      </c>
      <c r="L729" s="15" t="s">
        <v>1609</v>
      </c>
      <c r="M729" s="16">
        <v>2</v>
      </c>
      <c r="N729" s="15" t="s">
        <v>69</v>
      </c>
    </row>
    <row r="730" spans="10:14">
      <c r="J730" s="15" t="s">
        <v>1610</v>
      </c>
      <c r="K730" s="15" t="s">
        <v>1594</v>
      </c>
      <c r="L730" s="15" t="s">
        <v>1611</v>
      </c>
      <c r="M730" s="16">
        <v>2</v>
      </c>
      <c r="N730" s="15" t="s">
        <v>69</v>
      </c>
    </row>
    <row r="731" spans="10:14">
      <c r="J731" s="15" t="s">
        <v>1612</v>
      </c>
      <c r="K731" s="15" t="s">
        <v>1594</v>
      </c>
      <c r="L731" s="15" t="s">
        <v>1613</v>
      </c>
      <c r="M731" s="16">
        <v>2</v>
      </c>
      <c r="N731" s="15" t="s">
        <v>69</v>
      </c>
    </row>
    <row r="732" spans="10:14">
      <c r="J732" s="15" t="s">
        <v>1614</v>
      </c>
      <c r="K732" s="15" t="s">
        <v>1594</v>
      </c>
      <c r="L732" s="15" t="s">
        <v>1615</v>
      </c>
      <c r="M732" s="16">
        <v>5</v>
      </c>
      <c r="N732" s="15" t="s">
        <v>61</v>
      </c>
    </row>
    <row r="733" spans="10:14">
      <c r="J733" s="15" t="s">
        <v>1616</v>
      </c>
      <c r="K733" s="15" t="s">
        <v>1594</v>
      </c>
      <c r="L733" s="15" t="s">
        <v>1617</v>
      </c>
      <c r="M733" s="16">
        <v>3</v>
      </c>
      <c r="N733" s="15" t="s">
        <v>65</v>
      </c>
    </row>
    <row r="734" spans="10:14">
      <c r="J734" s="15" t="s">
        <v>1618</v>
      </c>
      <c r="K734" s="15" t="s">
        <v>1594</v>
      </c>
      <c r="L734" s="15" t="s">
        <v>1619</v>
      </c>
      <c r="M734" s="16">
        <v>3</v>
      </c>
      <c r="N734" s="15" t="s">
        <v>65</v>
      </c>
    </row>
    <row r="735" spans="10:14">
      <c r="J735" s="15" t="s">
        <v>1620</v>
      </c>
      <c r="K735" s="15" t="s">
        <v>1621</v>
      </c>
      <c r="L735" s="15" t="s">
        <v>1622</v>
      </c>
      <c r="M735" s="16">
        <v>6</v>
      </c>
      <c r="N735" s="15" t="s">
        <v>81</v>
      </c>
    </row>
    <row r="736" spans="10:14">
      <c r="J736" s="15" t="s">
        <v>1623</v>
      </c>
      <c r="K736" s="15" t="s">
        <v>1621</v>
      </c>
      <c r="L736" s="15" t="s">
        <v>1624</v>
      </c>
      <c r="M736" s="16">
        <v>6</v>
      </c>
      <c r="N736" s="15" t="s">
        <v>81</v>
      </c>
    </row>
    <row r="737" spans="10:14">
      <c r="J737" s="15" t="s">
        <v>1625</v>
      </c>
      <c r="K737" s="15" t="s">
        <v>1621</v>
      </c>
      <c r="L737" s="15" t="s">
        <v>1626</v>
      </c>
      <c r="M737" s="16">
        <v>6</v>
      </c>
      <c r="N737" s="15" t="s">
        <v>81</v>
      </c>
    </row>
    <row r="738" spans="10:14">
      <c r="J738" s="15" t="s">
        <v>1627</v>
      </c>
      <c r="K738" s="15" t="s">
        <v>1621</v>
      </c>
      <c r="L738" s="15" t="s">
        <v>1628</v>
      </c>
      <c r="M738" s="16">
        <v>6</v>
      </c>
      <c r="N738" s="15" t="s">
        <v>81</v>
      </c>
    </row>
    <row r="739" spans="10:14">
      <c r="J739" s="15" t="s">
        <v>1629</v>
      </c>
      <c r="K739" s="15" t="s">
        <v>1621</v>
      </c>
      <c r="L739" s="15" t="s">
        <v>42</v>
      </c>
      <c r="M739" s="16">
        <v>4</v>
      </c>
      <c r="N739" s="15" t="s">
        <v>93</v>
      </c>
    </row>
    <row r="740" spans="10:14">
      <c r="J740" s="15" t="s">
        <v>1630</v>
      </c>
      <c r="K740" s="15" t="s">
        <v>1621</v>
      </c>
      <c r="L740" s="15" t="s">
        <v>1631</v>
      </c>
      <c r="M740" s="16">
        <v>6</v>
      </c>
      <c r="N740" s="15" t="s">
        <v>81</v>
      </c>
    </row>
    <row r="741" spans="10:14">
      <c r="J741" s="15" t="s">
        <v>1632</v>
      </c>
      <c r="K741" s="15" t="s">
        <v>1633</v>
      </c>
      <c r="L741" s="15" t="s">
        <v>1634</v>
      </c>
      <c r="M741" s="16">
        <v>5</v>
      </c>
      <c r="N741" s="15" t="s">
        <v>61</v>
      </c>
    </row>
    <row r="742" spans="10:14">
      <c r="J742" s="15" t="s">
        <v>1635</v>
      </c>
      <c r="K742" s="15" t="s">
        <v>1633</v>
      </c>
      <c r="L742" s="15" t="s">
        <v>1636</v>
      </c>
      <c r="M742" s="16">
        <v>3</v>
      </c>
      <c r="N742" s="15" t="s">
        <v>65</v>
      </c>
    </row>
    <row r="743" spans="10:14">
      <c r="J743" s="15" t="s">
        <v>1637</v>
      </c>
      <c r="K743" s="15" t="s">
        <v>1633</v>
      </c>
      <c r="L743" s="15" t="s">
        <v>1638</v>
      </c>
      <c r="M743" s="16">
        <v>5</v>
      </c>
      <c r="N743" s="15" t="s">
        <v>61</v>
      </c>
    </row>
    <row r="744" spans="10:14">
      <c r="J744" s="15" t="s">
        <v>1639</v>
      </c>
      <c r="K744" s="15" t="s">
        <v>1633</v>
      </c>
      <c r="L744" s="15" t="s">
        <v>1640</v>
      </c>
      <c r="M744" s="16">
        <v>4</v>
      </c>
      <c r="N744" s="15" t="s">
        <v>93</v>
      </c>
    </row>
    <row r="745" spans="10:14">
      <c r="J745" s="15" t="s">
        <v>1641</v>
      </c>
      <c r="K745" s="15" t="s">
        <v>1633</v>
      </c>
      <c r="L745" s="15" t="s">
        <v>1642</v>
      </c>
      <c r="M745" s="16">
        <v>4</v>
      </c>
      <c r="N745" s="15" t="s">
        <v>93</v>
      </c>
    </row>
    <row r="746" spans="10:14">
      <c r="J746" s="15" t="s">
        <v>1643</v>
      </c>
      <c r="K746" s="15" t="s">
        <v>1633</v>
      </c>
      <c r="L746" s="15" t="s">
        <v>1644</v>
      </c>
      <c r="M746" s="16">
        <v>3</v>
      </c>
      <c r="N746" s="15" t="s">
        <v>65</v>
      </c>
    </row>
    <row r="747" spans="10:14">
      <c r="J747" s="15" t="s">
        <v>1645</v>
      </c>
      <c r="K747" s="15" t="s">
        <v>1633</v>
      </c>
      <c r="L747" s="15" t="s">
        <v>42</v>
      </c>
      <c r="M747" s="16">
        <v>2</v>
      </c>
      <c r="N747" s="15" t="s">
        <v>69</v>
      </c>
    </row>
    <row r="748" spans="10:14">
      <c r="J748" s="15" t="s">
        <v>1646</v>
      </c>
      <c r="K748" s="15" t="s">
        <v>1633</v>
      </c>
      <c r="L748" s="15" t="s">
        <v>1647</v>
      </c>
      <c r="M748" s="16">
        <v>2</v>
      </c>
      <c r="N748" s="15" t="s">
        <v>69</v>
      </c>
    </row>
    <row r="749" spans="10:14">
      <c r="J749" s="15" t="s">
        <v>1648</v>
      </c>
      <c r="K749" s="15" t="s">
        <v>1649</v>
      </c>
      <c r="L749" s="15" t="s">
        <v>1650</v>
      </c>
      <c r="M749" s="16">
        <v>6</v>
      </c>
      <c r="N749" s="15" t="s">
        <v>81</v>
      </c>
    </row>
    <row r="750" spans="10:14">
      <c r="J750" s="15" t="s">
        <v>1651</v>
      </c>
      <c r="K750" s="15" t="s">
        <v>1649</v>
      </c>
      <c r="L750" s="15" t="s">
        <v>1652</v>
      </c>
      <c r="M750" s="16">
        <v>3</v>
      </c>
      <c r="N750" s="15" t="s">
        <v>65</v>
      </c>
    </row>
    <row r="751" spans="10:14">
      <c r="J751" s="15" t="s">
        <v>1653</v>
      </c>
      <c r="K751" s="15" t="s">
        <v>1649</v>
      </c>
      <c r="L751" s="15" t="s">
        <v>1654</v>
      </c>
      <c r="M751" s="16">
        <v>5</v>
      </c>
      <c r="N751" s="15" t="s">
        <v>61</v>
      </c>
    </row>
    <row r="752" spans="10:14">
      <c r="J752" s="15" t="s">
        <v>1655</v>
      </c>
      <c r="K752" s="15" t="s">
        <v>1649</v>
      </c>
      <c r="L752" s="15" t="s">
        <v>1656</v>
      </c>
      <c r="M752" s="16">
        <v>6</v>
      </c>
      <c r="N752" s="15" t="s">
        <v>81</v>
      </c>
    </row>
    <row r="753" spans="10:14">
      <c r="J753" s="15" t="s">
        <v>1657</v>
      </c>
      <c r="K753" s="15" t="s">
        <v>1649</v>
      </c>
      <c r="L753" s="15" t="s">
        <v>42</v>
      </c>
      <c r="M753" s="16">
        <v>2</v>
      </c>
      <c r="N753" s="15" t="s">
        <v>69</v>
      </c>
    </row>
    <row r="754" spans="10:14">
      <c r="J754" s="15" t="s">
        <v>1658</v>
      </c>
      <c r="K754" s="15" t="s">
        <v>1649</v>
      </c>
      <c r="L754" s="15" t="s">
        <v>1659</v>
      </c>
      <c r="M754" s="16">
        <v>4</v>
      </c>
      <c r="N754" s="15" t="s">
        <v>93</v>
      </c>
    </row>
    <row r="755" spans="10:14">
      <c r="J755" s="15" t="s">
        <v>1660</v>
      </c>
      <c r="K755" s="15" t="s">
        <v>1661</v>
      </c>
      <c r="L755" s="15" t="s">
        <v>1662</v>
      </c>
      <c r="M755" s="16">
        <v>6</v>
      </c>
      <c r="N755" s="15" t="s">
        <v>81</v>
      </c>
    </row>
    <row r="756" spans="10:14">
      <c r="J756" s="15" t="s">
        <v>1663</v>
      </c>
      <c r="K756" s="15" t="s">
        <v>1661</v>
      </c>
      <c r="L756" s="15" t="s">
        <v>1664</v>
      </c>
      <c r="M756" s="16">
        <v>2</v>
      </c>
      <c r="N756" s="15" t="s">
        <v>69</v>
      </c>
    </row>
    <row r="757" spans="10:14">
      <c r="J757" s="15" t="s">
        <v>1665</v>
      </c>
      <c r="K757" s="15" t="s">
        <v>1661</v>
      </c>
      <c r="L757" s="15" t="s">
        <v>1666</v>
      </c>
      <c r="M757" s="16">
        <v>4</v>
      </c>
      <c r="N757" s="15" t="s">
        <v>93</v>
      </c>
    </row>
    <row r="758" spans="10:14">
      <c r="J758" s="15" t="s">
        <v>1667</v>
      </c>
      <c r="K758" s="15" t="s">
        <v>1661</v>
      </c>
      <c r="L758" s="15" t="s">
        <v>1668</v>
      </c>
      <c r="M758" s="16">
        <v>5</v>
      </c>
      <c r="N758" s="15" t="s">
        <v>61</v>
      </c>
    </row>
    <row r="759" spans="10:14">
      <c r="J759" s="15" t="s">
        <v>1669</v>
      </c>
      <c r="K759" s="15" t="s">
        <v>1661</v>
      </c>
      <c r="L759" s="15" t="s">
        <v>1670</v>
      </c>
      <c r="M759" s="16">
        <v>6</v>
      </c>
      <c r="N759" s="15" t="s">
        <v>81</v>
      </c>
    </row>
    <row r="760" spans="10:14">
      <c r="J760" s="15" t="s">
        <v>1671</v>
      </c>
      <c r="K760" s="15" t="s">
        <v>1661</v>
      </c>
      <c r="L760" s="15" t="s">
        <v>1672</v>
      </c>
      <c r="M760" s="16">
        <v>6</v>
      </c>
      <c r="N760" s="15" t="s">
        <v>81</v>
      </c>
    </row>
    <row r="761" spans="10:14">
      <c r="J761" s="15" t="s">
        <v>1673</v>
      </c>
      <c r="K761" s="15" t="s">
        <v>1661</v>
      </c>
      <c r="L761" s="15" t="s">
        <v>1674</v>
      </c>
      <c r="M761" s="16">
        <v>3</v>
      </c>
      <c r="N761" s="15" t="s">
        <v>65</v>
      </c>
    </row>
    <row r="762" spans="10:14">
      <c r="J762" s="15" t="s">
        <v>1675</v>
      </c>
      <c r="K762" s="15" t="s">
        <v>1661</v>
      </c>
      <c r="L762" s="15" t="s">
        <v>1676</v>
      </c>
      <c r="M762" s="16">
        <v>5</v>
      </c>
      <c r="N762" s="15" t="s">
        <v>61</v>
      </c>
    </row>
    <row r="763" spans="10:14">
      <c r="J763" s="15" t="s">
        <v>1677</v>
      </c>
      <c r="K763" s="15" t="s">
        <v>1661</v>
      </c>
      <c r="L763" s="15" t="s">
        <v>1678</v>
      </c>
      <c r="M763" s="16">
        <v>3</v>
      </c>
      <c r="N763" s="15" t="s">
        <v>65</v>
      </c>
    </row>
    <row r="764" spans="10:14">
      <c r="J764" s="15" t="s">
        <v>1679</v>
      </c>
      <c r="K764" s="15" t="s">
        <v>1661</v>
      </c>
      <c r="L764" s="15" t="s">
        <v>1680</v>
      </c>
      <c r="M764" s="16">
        <v>6</v>
      </c>
      <c r="N764" s="15" t="s">
        <v>81</v>
      </c>
    </row>
    <row r="765" spans="10:14">
      <c r="J765" s="15" t="s">
        <v>1681</v>
      </c>
      <c r="K765" s="15" t="s">
        <v>1661</v>
      </c>
      <c r="L765" s="15" t="s">
        <v>1682</v>
      </c>
      <c r="M765" s="16">
        <v>6</v>
      </c>
      <c r="N765" s="15" t="s">
        <v>81</v>
      </c>
    </row>
    <row r="766" spans="10:14">
      <c r="J766" s="15" t="s">
        <v>1683</v>
      </c>
      <c r="K766" s="15" t="s">
        <v>1661</v>
      </c>
      <c r="L766" s="15" t="s">
        <v>1684</v>
      </c>
      <c r="M766" s="16">
        <v>5</v>
      </c>
      <c r="N766" s="15" t="s">
        <v>61</v>
      </c>
    </row>
    <row r="767" spans="10:14">
      <c r="J767" s="15" t="s">
        <v>1685</v>
      </c>
      <c r="K767" s="15" t="s">
        <v>1661</v>
      </c>
      <c r="L767" s="15" t="s">
        <v>1686</v>
      </c>
      <c r="M767" s="16">
        <v>5</v>
      </c>
      <c r="N767" s="15" t="s">
        <v>61</v>
      </c>
    </row>
    <row r="768" spans="10:14">
      <c r="J768" s="15" t="s">
        <v>1687</v>
      </c>
      <c r="K768" s="15" t="s">
        <v>1661</v>
      </c>
      <c r="L768" s="15" t="s">
        <v>1688</v>
      </c>
      <c r="M768" s="16">
        <v>5</v>
      </c>
      <c r="N768" s="15" t="s">
        <v>61</v>
      </c>
    </row>
    <row r="769" spans="10:14">
      <c r="J769" s="15" t="s">
        <v>1689</v>
      </c>
      <c r="K769" s="15" t="s">
        <v>1661</v>
      </c>
      <c r="L769" s="15" t="s">
        <v>1690</v>
      </c>
      <c r="M769" s="16">
        <v>5</v>
      </c>
      <c r="N769" s="15" t="s">
        <v>61</v>
      </c>
    </row>
    <row r="770" spans="10:14">
      <c r="J770" s="15" t="s">
        <v>1691</v>
      </c>
      <c r="K770" s="15" t="s">
        <v>1661</v>
      </c>
      <c r="L770" s="15" t="s">
        <v>1692</v>
      </c>
      <c r="M770" s="16">
        <v>6</v>
      </c>
      <c r="N770" s="15" t="s">
        <v>81</v>
      </c>
    </row>
    <row r="771" spans="10:14">
      <c r="J771" s="15" t="s">
        <v>1693</v>
      </c>
      <c r="K771" s="15" t="s">
        <v>1661</v>
      </c>
      <c r="L771" s="15" t="s">
        <v>1694</v>
      </c>
      <c r="M771" s="16">
        <v>4</v>
      </c>
      <c r="N771" s="15" t="s">
        <v>93</v>
      </c>
    </row>
    <row r="772" spans="10:14">
      <c r="J772" s="15" t="s">
        <v>1695</v>
      </c>
      <c r="K772" s="15" t="s">
        <v>1661</v>
      </c>
      <c r="L772" s="15" t="s">
        <v>1696</v>
      </c>
      <c r="M772" s="16">
        <v>5</v>
      </c>
      <c r="N772" s="15" t="s">
        <v>61</v>
      </c>
    </row>
    <row r="773" spans="10:14">
      <c r="J773" s="15" t="s">
        <v>1697</v>
      </c>
      <c r="K773" s="15" t="s">
        <v>1661</v>
      </c>
      <c r="L773" s="15" t="s">
        <v>1698</v>
      </c>
      <c r="M773" s="16">
        <v>3</v>
      </c>
      <c r="N773" s="15" t="s">
        <v>65</v>
      </c>
    </row>
    <row r="774" spans="10:14">
      <c r="J774" s="15" t="s">
        <v>1699</v>
      </c>
      <c r="K774" s="15" t="s">
        <v>1700</v>
      </c>
      <c r="L774" s="15" t="s">
        <v>1701</v>
      </c>
      <c r="M774" s="16">
        <v>4</v>
      </c>
      <c r="N774" s="15" t="s">
        <v>93</v>
      </c>
    </row>
    <row r="775" spans="10:14">
      <c r="J775" s="15" t="s">
        <v>1702</v>
      </c>
      <c r="K775" s="15" t="s">
        <v>1700</v>
      </c>
      <c r="L775" s="15" t="s">
        <v>1703</v>
      </c>
      <c r="M775" s="16">
        <v>4</v>
      </c>
      <c r="N775" s="15" t="s">
        <v>93</v>
      </c>
    </row>
    <row r="776" spans="10:14">
      <c r="J776" s="15" t="s">
        <v>1704</v>
      </c>
      <c r="K776" s="15" t="s">
        <v>1700</v>
      </c>
      <c r="L776" s="15" t="s">
        <v>1705</v>
      </c>
      <c r="M776" s="16">
        <v>5</v>
      </c>
      <c r="N776" s="15" t="s">
        <v>61</v>
      </c>
    </row>
    <row r="777" spans="10:14">
      <c r="J777" s="15" t="s">
        <v>1706</v>
      </c>
      <c r="K777" s="15" t="s">
        <v>1700</v>
      </c>
      <c r="L777" s="15" t="s">
        <v>1707</v>
      </c>
      <c r="M777" s="16">
        <v>3</v>
      </c>
      <c r="N777" s="15" t="s">
        <v>65</v>
      </c>
    </row>
    <row r="778" spans="10:14">
      <c r="J778" s="15" t="s">
        <v>1708</v>
      </c>
      <c r="K778" s="15" t="s">
        <v>1700</v>
      </c>
      <c r="L778" s="15" t="s">
        <v>42</v>
      </c>
      <c r="M778" s="16">
        <v>2</v>
      </c>
      <c r="N778" s="15" t="s">
        <v>69</v>
      </c>
    </row>
    <row r="779" spans="10:14">
      <c r="J779" s="15" t="s">
        <v>1709</v>
      </c>
      <c r="K779" s="15" t="s">
        <v>1700</v>
      </c>
      <c r="L779" s="15" t="s">
        <v>1710</v>
      </c>
      <c r="M779" s="16">
        <v>6</v>
      </c>
      <c r="N779" s="15" t="s">
        <v>81</v>
      </c>
    </row>
    <row r="780" spans="10:14">
      <c r="J780" s="15" t="s">
        <v>1711</v>
      </c>
      <c r="K780" s="15" t="s">
        <v>1700</v>
      </c>
      <c r="L780" s="15" t="s">
        <v>1712</v>
      </c>
      <c r="M780" s="16">
        <v>3</v>
      </c>
      <c r="N780" s="15" t="s">
        <v>65</v>
      </c>
    </row>
    <row r="781" spans="10:14">
      <c r="J781" s="15" t="s">
        <v>1713</v>
      </c>
      <c r="K781" s="15" t="s">
        <v>1714</v>
      </c>
      <c r="L781" s="15" t="s">
        <v>1715</v>
      </c>
      <c r="M781" s="16">
        <v>3</v>
      </c>
      <c r="N781" s="15" t="s">
        <v>65</v>
      </c>
    </row>
    <row r="782" spans="10:14">
      <c r="J782" s="15" t="s">
        <v>1716</v>
      </c>
      <c r="K782" s="15" t="s">
        <v>1714</v>
      </c>
      <c r="L782" s="15" t="s">
        <v>1717</v>
      </c>
      <c r="M782" s="16">
        <v>4</v>
      </c>
      <c r="N782" s="15" t="s">
        <v>93</v>
      </c>
    </row>
    <row r="783" spans="10:14">
      <c r="J783" s="15" t="s">
        <v>1718</v>
      </c>
      <c r="K783" s="15" t="s">
        <v>1714</v>
      </c>
      <c r="L783" s="15" t="s">
        <v>1719</v>
      </c>
      <c r="M783" s="16">
        <v>3</v>
      </c>
      <c r="N783" s="15" t="s">
        <v>65</v>
      </c>
    </row>
    <row r="784" spans="10:14">
      <c r="J784" s="15" t="s">
        <v>1720</v>
      </c>
      <c r="K784" s="15" t="s">
        <v>1714</v>
      </c>
      <c r="L784" s="15" t="s">
        <v>1721</v>
      </c>
      <c r="M784" s="16">
        <v>4</v>
      </c>
      <c r="N784" s="15" t="s">
        <v>93</v>
      </c>
    </row>
    <row r="785" spans="10:14">
      <c r="J785" s="15" t="s">
        <v>1722</v>
      </c>
      <c r="K785" s="15" t="s">
        <v>1714</v>
      </c>
      <c r="L785" s="15" t="s">
        <v>1723</v>
      </c>
      <c r="M785" s="16">
        <v>3</v>
      </c>
      <c r="N785" s="15" t="s">
        <v>65</v>
      </c>
    </row>
    <row r="786" spans="10:14">
      <c r="J786" s="15" t="s">
        <v>1724</v>
      </c>
      <c r="K786" s="15" t="s">
        <v>1714</v>
      </c>
      <c r="L786" s="15" t="s">
        <v>1725</v>
      </c>
      <c r="M786" s="16">
        <v>4</v>
      </c>
      <c r="N786" s="15" t="s">
        <v>93</v>
      </c>
    </row>
    <row r="787" spans="10:14">
      <c r="J787" s="15" t="s">
        <v>1726</v>
      </c>
      <c r="K787" s="15" t="s">
        <v>1714</v>
      </c>
      <c r="L787" s="15" t="s">
        <v>1727</v>
      </c>
      <c r="M787" s="16">
        <v>4</v>
      </c>
      <c r="N787" s="15" t="s">
        <v>93</v>
      </c>
    </row>
    <row r="788" spans="10:14">
      <c r="J788" s="15" t="s">
        <v>1728</v>
      </c>
      <c r="K788" s="15" t="s">
        <v>1714</v>
      </c>
      <c r="L788" s="15" t="s">
        <v>1729</v>
      </c>
      <c r="M788" s="16">
        <v>5</v>
      </c>
      <c r="N788" s="15" t="s">
        <v>61</v>
      </c>
    </row>
    <row r="789" spans="10:14">
      <c r="J789" s="15" t="s">
        <v>1730</v>
      </c>
      <c r="K789" s="15" t="s">
        <v>1714</v>
      </c>
      <c r="L789" s="15" t="s">
        <v>1731</v>
      </c>
      <c r="M789" s="16">
        <v>4</v>
      </c>
      <c r="N789" s="15" t="s">
        <v>93</v>
      </c>
    </row>
    <row r="790" spans="10:14">
      <c r="J790" s="15" t="s">
        <v>1732</v>
      </c>
      <c r="K790" s="15" t="s">
        <v>1714</v>
      </c>
      <c r="L790" s="15" t="s">
        <v>1733</v>
      </c>
      <c r="M790" s="16">
        <v>4</v>
      </c>
      <c r="N790" s="15" t="s">
        <v>93</v>
      </c>
    </row>
    <row r="791" spans="10:14">
      <c r="J791" s="15" t="s">
        <v>1734</v>
      </c>
      <c r="K791" s="15" t="s">
        <v>1714</v>
      </c>
      <c r="L791" s="15" t="s">
        <v>42</v>
      </c>
      <c r="M791" s="16">
        <v>2</v>
      </c>
      <c r="N791" s="15" t="s">
        <v>69</v>
      </c>
    </row>
    <row r="792" spans="10:14">
      <c r="J792" s="15" t="s">
        <v>1735</v>
      </c>
      <c r="K792" s="15" t="s">
        <v>1714</v>
      </c>
      <c r="L792" s="15" t="s">
        <v>1736</v>
      </c>
      <c r="M792" s="16">
        <v>3</v>
      </c>
      <c r="N792" s="15" t="s">
        <v>65</v>
      </c>
    </row>
    <row r="793" spans="10:14">
      <c r="J793" s="15" t="s">
        <v>1737</v>
      </c>
      <c r="K793" s="15" t="s">
        <v>1738</v>
      </c>
      <c r="L793" s="15" t="s">
        <v>1739</v>
      </c>
      <c r="M793" s="16">
        <v>2</v>
      </c>
      <c r="N793" s="15" t="s">
        <v>69</v>
      </c>
    </row>
    <row r="794" spans="10:14">
      <c r="J794" s="15" t="s">
        <v>1740</v>
      </c>
      <c r="K794" s="15" t="s">
        <v>1738</v>
      </c>
      <c r="L794" s="15" t="s">
        <v>1741</v>
      </c>
      <c r="M794" s="16">
        <v>3</v>
      </c>
      <c r="N794" s="15" t="s">
        <v>65</v>
      </c>
    </row>
    <row r="795" spans="10:14">
      <c r="J795" s="15" t="s">
        <v>1742</v>
      </c>
      <c r="K795" s="15" t="s">
        <v>1738</v>
      </c>
      <c r="L795" s="15" t="s">
        <v>1743</v>
      </c>
      <c r="M795" s="16">
        <v>2</v>
      </c>
      <c r="N795" s="15" t="s">
        <v>69</v>
      </c>
    </row>
    <row r="796" spans="10:14">
      <c r="J796" s="15" t="s">
        <v>1744</v>
      </c>
      <c r="K796" s="15" t="s">
        <v>1738</v>
      </c>
      <c r="L796" s="15" t="s">
        <v>1745</v>
      </c>
      <c r="M796" s="16">
        <v>2</v>
      </c>
      <c r="N796" s="15" t="s">
        <v>69</v>
      </c>
    </row>
    <row r="797" spans="10:14">
      <c r="J797" s="15" t="s">
        <v>1746</v>
      </c>
      <c r="K797" s="15" t="s">
        <v>1738</v>
      </c>
      <c r="L797" s="15" t="s">
        <v>1747</v>
      </c>
      <c r="M797" s="16">
        <v>3</v>
      </c>
      <c r="N797" s="15" t="s">
        <v>65</v>
      </c>
    </row>
    <row r="798" spans="10:14">
      <c r="J798" s="15" t="s">
        <v>1748</v>
      </c>
      <c r="K798" s="15" t="s">
        <v>1738</v>
      </c>
      <c r="L798" s="15" t="s">
        <v>1749</v>
      </c>
      <c r="M798" s="16">
        <v>3</v>
      </c>
      <c r="N798" s="15" t="s">
        <v>65</v>
      </c>
    </row>
    <row r="799" spans="10:14">
      <c r="J799" s="15" t="s">
        <v>1750</v>
      </c>
      <c r="K799" s="15" t="s">
        <v>1738</v>
      </c>
      <c r="L799" s="15" t="s">
        <v>1751</v>
      </c>
      <c r="M799" s="16">
        <v>3</v>
      </c>
      <c r="N799" s="15" t="s">
        <v>65</v>
      </c>
    </row>
    <row r="800" spans="10:14">
      <c r="J800" s="15" t="s">
        <v>1752</v>
      </c>
      <c r="K800" s="15" t="s">
        <v>1738</v>
      </c>
      <c r="L800" s="15" t="s">
        <v>1753</v>
      </c>
      <c r="M800" s="16">
        <v>4</v>
      </c>
      <c r="N800" s="15" t="s">
        <v>93</v>
      </c>
    </row>
    <row r="801" spans="10:14">
      <c r="J801" s="15" t="s">
        <v>1754</v>
      </c>
      <c r="K801" s="15" t="s">
        <v>1738</v>
      </c>
      <c r="L801" s="15" t="s">
        <v>1755</v>
      </c>
      <c r="M801" s="16">
        <v>3</v>
      </c>
      <c r="N801" s="15" t="s">
        <v>65</v>
      </c>
    </row>
    <row r="802" spans="10:14">
      <c r="J802" s="15" t="s">
        <v>1756</v>
      </c>
      <c r="K802" s="15" t="s">
        <v>1738</v>
      </c>
      <c r="L802" s="15" t="s">
        <v>1757</v>
      </c>
      <c r="M802" s="16">
        <v>4</v>
      </c>
      <c r="N802" s="15" t="s">
        <v>93</v>
      </c>
    </row>
    <row r="803" spans="10:14">
      <c r="J803" s="15" t="s">
        <v>1758</v>
      </c>
      <c r="K803" s="15" t="s">
        <v>1738</v>
      </c>
      <c r="L803" s="15" t="s">
        <v>1759</v>
      </c>
      <c r="M803" s="16">
        <v>4</v>
      </c>
      <c r="N803" s="15" t="s">
        <v>93</v>
      </c>
    </row>
    <row r="804" spans="10:14">
      <c r="J804" s="15" t="s">
        <v>1760</v>
      </c>
      <c r="K804" s="15" t="s">
        <v>1738</v>
      </c>
      <c r="L804" s="15" t="s">
        <v>1761</v>
      </c>
      <c r="M804" s="16">
        <v>3</v>
      </c>
      <c r="N804" s="15" t="s">
        <v>65</v>
      </c>
    </row>
    <row r="805" spans="10:14">
      <c r="J805" s="15" t="s">
        <v>1762</v>
      </c>
      <c r="K805" s="15" t="s">
        <v>1738</v>
      </c>
      <c r="L805" s="15" t="s">
        <v>1763</v>
      </c>
      <c r="M805" s="16">
        <v>2</v>
      </c>
      <c r="N805" s="15" t="s">
        <v>69</v>
      </c>
    </row>
    <row r="806" spans="10:14">
      <c r="J806" s="15" t="s">
        <v>1764</v>
      </c>
      <c r="K806" s="15" t="s">
        <v>1738</v>
      </c>
      <c r="L806" s="15" t="s">
        <v>1765</v>
      </c>
      <c r="M806" s="16">
        <v>2</v>
      </c>
      <c r="N806" s="15" t="s">
        <v>69</v>
      </c>
    </row>
    <row r="807" spans="10:14">
      <c r="J807" s="15" t="s">
        <v>1766</v>
      </c>
      <c r="K807" s="15" t="s">
        <v>1738</v>
      </c>
      <c r="L807" s="15" t="s">
        <v>1767</v>
      </c>
      <c r="M807" s="16">
        <v>3</v>
      </c>
      <c r="N807" s="15" t="s">
        <v>65</v>
      </c>
    </row>
    <row r="808" spans="10:14">
      <c r="J808" s="15" t="s">
        <v>1768</v>
      </c>
      <c r="K808" s="15" t="s">
        <v>1738</v>
      </c>
      <c r="L808" s="15" t="s">
        <v>1769</v>
      </c>
      <c r="M808" s="16">
        <v>4</v>
      </c>
      <c r="N808" s="15" t="s">
        <v>93</v>
      </c>
    </row>
    <row r="809" spans="10:14">
      <c r="J809" s="15" t="s">
        <v>1770</v>
      </c>
      <c r="K809" s="15" t="s">
        <v>1771</v>
      </c>
      <c r="L809" s="15" t="s">
        <v>1772</v>
      </c>
      <c r="M809" s="16">
        <v>4</v>
      </c>
      <c r="N809" s="15" t="s">
        <v>93</v>
      </c>
    </row>
    <row r="810" spans="10:14">
      <c r="J810" s="15" t="s">
        <v>1773</v>
      </c>
      <c r="K810" s="15" t="s">
        <v>1771</v>
      </c>
      <c r="L810" s="15" t="s">
        <v>1774</v>
      </c>
      <c r="M810" s="16">
        <v>5</v>
      </c>
      <c r="N810" s="15" t="s">
        <v>61</v>
      </c>
    </row>
    <row r="811" spans="10:14">
      <c r="J811" s="15" t="s">
        <v>1775</v>
      </c>
      <c r="K811" s="15" t="s">
        <v>1771</v>
      </c>
      <c r="L811" s="15" t="s">
        <v>1776</v>
      </c>
      <c r="M811" s="16">
        <v>1</v>
      </c>
      <c r="N811" s="15" t="s">
        <v>150</v>
      </c>
    </row>
    <row r="812" spans="10:14">
      <c r="J812" s="15" t="s">
        <v>1777</v>
      </c>
      <c r="K812" s="15" t="s">
        <v>1771</v>
      </c>
      <c r="L812" s="15" t="s">
        <v>621</v>
      </c>
      <c r="M812" s="16">
        <v>5</v>
      </c>
      <c r="N812" s="15" t="s">
        <v>61</v>
      </c>
    </row>
    <row r="813" spans="10:14">
      <c r="J813" s="15" t="s">
        <v>1778</v>
      </c>
      <c r="K813" s="15" t="s">
        <v>1771</v>
      </c>
      <c r="L813" s="15" t="s">
        <v>1779</v>
      </c>
      <c r="M813" s="16">
        <v>3</v>
      </c>
      <c r="N813" s="15" t="s">
        <v>65</v>
      </c>
    </row>
    <row r="814" spans="10:14">
      <c r="J814" s="15" t="s">
        <v>1780</v>
      </c>
      <c r="K814" s="15" t="s">
        <v>1771</v>
      </c>
      <c r="L814" s="15" t="s">
        <v>1781</v>
      </c>
      <c r="M814" s="16">
        <v>2</v>
      </c>
      <c r="N814" s="15" t="s">
        <v>69</v>
      </c>
    </row>
    <row r="815" spans="10:14">
      <c r="J815" s="15" t="s">
        <v>1782</v>
      </c>
      <c r="K815" s="15" t="s">
        <v>1771</v>
      </c>
      <c r="L815" s="15" t="s">
        <v>1783</v>
      </c>
      <c r="M815" s="16">
        <v>3</v>
      </c>
      <c r="N815" s="15" t="s">
        <v>65</v>
      </c>
    </row>
    <row r="816" spans="10:14">
      <c r="J816" s="15" t="s">
        <v>1784</v>
      </c>
      <c r="K816" s="15" t="s">
        <v>1771</v>
      </c>
      <c r="L816" s="15" t="s">
        <v>1785</v>
      </c>
      <c r="M816" s="16">
        <v>3</v>
      </c>
      <c r="N816" s="15" t="s">
        <v>65</v>
      </c>
    </row>
    <row r="817" spans="10:14">
      <c r="J817" s="15" t="s">
        <v>1786</v>
      </c>
      <c r="K817" s="15" t="s">
        <v>1771</v>
      </c>
      <c r="L817" s="15" t="s">
        <v>1787</v>
      </c>
      <c r="M817" s="16">
        <v>2</v>
      </c>
      <c r="N817" s="15" t="s">
        <v>69</v>
      </c>
    </row>
    <row r="818" spans="10:14">
      <c r="J818" s="15" t="s">
        <v>1788</v>
      </c>
      <c r="K818" s="15" t="s">
        <v>1771</v>
      </c>
      <c r="L818" s="15" t="s">
        <v>1789</v>
      </c>
      <c r="M818" s="16">
        <v>4</v>
      </c>
      <c r="N818" s="15" t="s">
        <v>93</v>
      </c>
    </row>
    <row r="819" spans="10:14">
      <c r="J819" s="15" t="s">
        <v>1790</v>
      </c>
      <c r="K819" s="15" t="s">
        <v>1771</v>
      </c>
      <c r="L819" s="15" t="s">
        <v>1791</v>
      </c>
      <c r="M819" s="16">
        <v>4</v>
      </c>
      <c r="N819" s="15" t="s">
        <v>93</v>
      </c>
    </row>
    <row r="820" spans="10:14">
      <c r="J820" s="15" t="s">
        <v>1792</v>
      </c>
      <c r="K820" s="15" t="s">
        <v>1771</v>
      </c>
      <c r="L820" s="15" t="s">
        <v>1793</v>
      </c>
      <c r="M820" s="16">
        <v>3</v>
      </c>
      <c r="N820" s="15" t="s">
        <v>65</v>
      </c>
    </row>
    <row r="821" spans="10:14">
      <c r="J821" s="15" t="s">
        <v>1794</v>
      </c>
      <c r="K821" s="15" t="s">
        <v>1771</v>
      </c>
      <c r="L821" s="15" t="s">
        <v>1795</v>
      </c>
      <c r="M821" s="16">
        <v>5</v>
      </c>
      <c r="N821" s="15" t="s">
        <v>61</v>
      </c>
    </row>
    <row r="822" spans="10:14">
      <c r="J822" s="15" t="s">
        <v>1796</v>
      </c>
      <c r="K822" s="15" t="s">
        <v>1771</v>
      </c>
      <c r="L822" s="15" t="s">
        <v>1797</v>
      </c>
      <c r="M822" s="16">
        <v>2</v>
      </c>
      <c r="N822" s="15" t="s">
        <v>69</v>
      </c>
    </row>
    <row r="823" spans="10:14">
      <c r="J823" s="15" t="s">
        <v>1798</v>
      </c>
      <c r="K823" s="15" t="s">
        <v>1771</v>
      </c>
      <c r="L823" s="15" t="s">
        <v>1799</v>
      </c>
      <c r="M823" s="16">
        <v>4</v>
      </c>
      <c r="N823" s="15" t="s">
        <v>93</v>
      </c>
    </row>
    <row r="824" spans="10:14">
      <c r="J824" s="15" t="s">
        <v>1800</v>
      </c>
      <c r="K824" s="15" t="s">
        <v>1771</v>
      </c>
      <c r="L824" s="15" t="s">
        <v>1801</v>
      </c>
      <c r="M824" s="16">
        <v>5</v>
      </c>
      <c r="N824" s="15" t="s">
        <v>61</v>
      </c>
    </row>
    <row r="825" spans="10:14">
      <c r="J825" s="15" t="s">
        <v>1802</v>
      </c>
      <c r="K825" s="15" t="s">
        <v>1771</v>
      </c>
      <c r="L825" s="15" t="s">
        <v>1803</v>
      </c>
      <c r="M825" s="16">
        <v>5</v>
      </c>
      <c r="N825" s="15" t="s">
        <v>61</v>
      </c>
    </row>
    <row r="826" spans="10:14">
      <c r="J826" s="15" t="s">
        <v>1804</v>
      </c>
      <c r="K826" s="15" t="s">
        <v>1805</v>
      </c>
      <c r="L826" s="15" t="s">
        <v>1806</v>
      </c>
      <c r="M826" s="16">
        <v>6</v>
      </c>
      <c r="N826" s="15" t="s">
        <v>81</v>
      </c>
    </row>
    <row r="827" spans="10:14">
      <c r="J827" s="15" t="s">
        <v>1807</v>
      </c>
      <c r="K827" s="15" t="s">
        <v>1805</v>
      </c>
      <c r="L827" s="15" t="s">
        <v>1808</v>
      </c>
      <c r="M827" s="16">
        <v>6</v>
      </c>
      <c r="N827" s="15" t="s">
        <v>81</v>
      </c>
    </row>
    <row r="828" spans="10:14">
      <c r="J828" s="15" t="s">
        <v>1809</v>
      </c>
      <c r="K828" s="15" t="s">
        <v>1805</v>
      </c>
      <c r="L828" s="15" t="s">
        <v>1810</v>
      </c>
      <c r="M828" s="16">
        <v>5</v>
      </c>
      <c r="N828" s="15" t="s">
        <v>61</v>
      </c>
    </row>
    <row r="829" spans="10:14">
      <c r="J829" s="15" t="s">
        <v>1811</v>
      </c>
      <c r="K829" s="15" t="s">
        <v>1805</v>
      </c>
      <c r="L829" s="15" t="s">
        <v>42</v>
      </c>
      <c r="M829" s="16">
        <v>3</v>
      </c>
      <c r="N829" s="15" t="s">
        <v>65</v>
      </c>
    </row>
    <row r="830" spans="10:14">
      <c r="J830" s="15" t="s">
        <v>1812</v>
      </c>
      <c r="K830" s="15" t="s">
        <v>1805</v>
      </c>
      <c r="L830" s="15" t="s">
        <v>1813</v>
      </c>
      <c r="M830" s="16">
        <v>6</v>
      </c>
      <c r="N830" s="15" t="s">
        <v>81</v>
      </c>
    </row>
    <row r="831" spans="10:14">
      <c r="J831" s="15" t="s">
        <v>1814</v>
      </c>
      <c r="K831" s="15" t="s">
        <v>1805</v>
      </c>
      <c r="L831" s="15" t="s">
        <v>1815</v>
      </c>
      <c r="M831" s="16">
        <v>6</v>
      </c>
      <c r="N831" s="15" t="s">
        <v>81</v>
      </c>
    </row>
    <row r="832" spans="10:14">
      <c r="J832" s="15" t="s">
        <v>1816</v>
      </c>
      <c r="K832" s="15" t="s">
        <v>1805</v>
      </c>
      <c r="L832" s="15" t="s">
        <v>1817</v>
      </c>
      <c r="M832" s="16">
        <v>6</v>
      </c>
      <c r="N832" s="15" t="s">
        <v>81</v>
      </c>
    </row>
    <row r="833" spans="10:14">
      <c r="J833" s="15" t="s">
        <v>1818</v>
      </c>
      <c r="K833" s="15" t="s">
        <v>1819</v>
      </c>
      <c r="L833" s="15" t="s">
        <v>1820</v>
      </c>
      <c r="M833" s="16">
        <v>3</v>
      </c>
      <c r="N833" s="15" t="s">
        <v>65</v>
      </c>
    </row>
    <row r="834" spans="10:14">
      <c r="J834" s="15" t="s">
        <v>1821</v>
      </c>
      <c r="K834" s="15" t="s">
        <v>1819</v>
      </c>
      <c r="L834" s="15" t="s">
        <v>1822</v>
      </c>
      <c r="M834" s="16">
        <v>3</v>
      </c>
      <c r="N834" s="15" t="s">
        <v>65</v>
      </c>
    </row>
    <row r="835" spans="10:14">
      <c r="J835" s="15" t="s">
        <v>1823</v>
      </c>
      <c r="K835" s="15" t="s">
        <v>1819</v>
      </c>
      <c r="L835" s="15" t="s">
        <v>1824</v>
      </c>
      <c r="M835" s="16">
        <v>6</v>
      </c>
      <c r="N835" s="15" t="s">
        <v>81</v>
      </c>
    </row>
    <row r="836" spans="10:14">
      <c r="J836" s="15" t="s">
        <v>1825</v>
      </c>
      <c r="K836" s="15" t="s">
        <v>1819</v>
      </c>
      <c r="L836" s="15" t="s">
        <v>1826</v>
      </c>
      <c r="M836" s="16">
        <v>5</v>
      </c>
      <c r="N836" s="15" t="s">
        <v>61</v>
      </c>
    </row>
    <row r="837" spans="10:14">
      <c r="J837" s="15" t="s">
        <v>1827</v>
      </c>
      <c r="K837" s="15" t="s">
        <v>1819</v>
      </c>
      <c r="L837" s="15" t="s">
        <v>1828</v>
      </c>
      <c r="M837" s="16">
        <v>5</v>
      </c>
      <c r="N837" s="15" t="s">
        <v>61</v>
      </c>
    </row>
    <row r="838" spans="10:14">
      <c r="J838" s="15" t="s">
        <v>1829</v>
      </c>
      <c r="K838" s="15" t="s">
        <v>1819</v>
      </c>
      <c r="L838" s="15" t="s">
        <v>1830</v>
      </c>
      <c r="M838" s="16">
        <v>3</v>
      </c>
      <c r="N838" s="15" t="s">
        <v>65</v>
      </c>
    </row>
    <row r="839" spans="10:14">
      <c r="J839" s="15" t="s">
        <v>1831</v>
      </c>
      <c r="K839" s="15" t="s">
        <v>1819</v>
      </c>
      <c r="L839" s="15" t="s">
        <v>42</v>
      </c>
      <c r="M839" s="16">
        <v>2</v>
      </c>
      <c r="N839" s="15" t="s">
        <v>69</v>
      </c>
    </row>
    <row r="840" spans="10:14">
      <c r="J840" s="15" t="s">
        <v>1832</v>
      </c>
      <c r="K840" s="15" t="s">
        <v>1819</v>
      </c>
      <c r="L840" s="15" t="s">
        <v>1833</v>
      </c>
      <c r="M840" s="16">
        <v>5</v>
      </c>
      <c r="N840" s="15" t="s">
        <v>61</v>
      </c>
    </row>
    <row r="841" spans="10:14">
      <c r="J841" s="15" t="s">
        <v>1834</v>
      </c>
      <c r="K841" s="15" t="s">
        <v>1819</v>
      </c>
      <c r="L841" s="15" t="s">
        <v>1835</v>
      </c>
      <c r="M841" s="16">
        <v>4</v>
      </c>
      <c r="N841" s="15" t="s">
        <v>93</v>
      </c>
    </row>
    <row r="842" spans="10:14">
      <c r="J842" s="15" t="s">
        <v>1836</v>
      </c>
      <c r="K842" s="15" t="s">
        <v>1837</v>
      </c>
      <c r="L842" s="15" t="s">
        <v>1838</v>
      </c>
      <c r="M842" s="16">
        <v>5</v>
      </c>
      <c r="N842" s="15" t="s">
        <v>61</v>
      </c>
    </row>
    <row r="843" spans="10:14">
      <c r="J843" s="15" t="s">
        <v>1839</v>
      </c>
      <c r="K843" s="15" t="s">
        <v>1837</v>
      </c>
      <c r="L843" s="15" t="s">
        <v>567</v>
      </c>
      <c r="M843" s="16">
        <v>5</v>
      </c>
      <c r="N843" s="15" t="s">
        <v>61</v>
      </c>
    </row>
    <row r="844" spans="10:14">
      <c r="J844" s="15" t="s">
        <v>1840</v>
      </c>
      <c r="K844" s="15" t="s">
        <v>1837</v>
      </c>
      <c r="L844" s="15" t="s">
        <v>1841</v>
      </c>
      <c r="M844" s="16">
        <v>4</v>
      </c>
      <c r="N844" s="15" t="s">
        <v>93</v>
      </c>
    </row>
    <row r="845" spans="10:14">
      <c r="J845" s="15" t="s">
        <v>1842</v>
      </c>
      <c r="K845" s="15" t="s">
        <v>1837</v>
      </c>
      <c r="L845" s="15" t="s">
        <v>1843</v>
      </c>
      <c r="M845" s="16">
        <v>5</v>
      </c>
      <c r="N845" s="15" t="s">
        <v>61</v>
      </c>
    </row>
    <row r="846" spans="10:14">
      <c r="J846" s="15" t="s">
        <v>1844</v>
      </c>
      <c r="K846" s="15" t="s">
        <v>1837</v>
      </c>
      <c r="L846" s="15" t="s">
        <v>1845</v>
      </c>
      <c r="M846" s="16">
        <v>4</v>
      </c>
      <c r="N846" s="15" t="s">
        <v>93</v>
      </c>
    </row>
    <row r="847" spans="10:14">
      <c r="J847" s="15" t="s">
        <v>1846</v>
      </c>
      <c r="K847" s="15" t="s">
        <v>1837</v>
      </c>
      <c r="L847" s="15" t="s">
        <v>1847</v>
      </c>
      <c r="M847" s="16">
        <v>5</v>
      </c>
      <c r="N847" s="15" t="s">
        <v>61</v>
      </c>
    </row>
    <row r="848" spans="10:14">
      <c r="J848" s="15" t="s">
        <v>1848</v>
      </c>
      <c r="K848" s="15" t="s">
        <v>1837</v>
      </c>
      <c r="L848" s="15" t="s">
        <v>1849</v>
      </c>
      <c r="M848" s="16">
        <v>4</v>
      </c>
      <c r="N848" s="15" t="s">
        <v>93</v>
      </c>
    </row>
    <row r="849" spans="10:14">
      <c r="J849" s="15" t="s">
        <v>1850</v>
      </c>
      <c r="K849" s="15" t="s">
        <v>1837</v>
      </c>
      <c r="L849" s="15" t="s">
        <v>1851</v>
      </c>
      <c r="M849" s="16">
        <v>5</v>
      </c>
      <c r="N849" s="15" t="s">
        <v>61</v>
      </c>
    </row>
    <row r="850" spans="10:14">
      <c r="J850" s="15" t="s">
        <v>1852</v>
      </c>
      <c r="K850" s="15" t="s">
        <v>1837</v>
      </c>
      <c r="L850" s="15" t="s">
        <v>1853</v>
      </c>
      <c r="M850" s="16">
        <v>5</v>
      </c>
      <c r="N850" s="15" t="s">
        <v>61</v>
      </c>
    </row>
    <row r="851" spans="10:14">
      <c r="J851" s="15" t="s">
        <v>1854</v>
      </c>
      <c r="K851" s="15" t="s">
        <v>1837</v>
      </c>
      <c r="L851" s="15" t="s">
        <v>1855</v>
      </c>
      <c r="M851" s="16">
        <v>4</v>
      </c>
      <c r="N851" s="15" t="s">
        <v>93</v>
      </c>
    </row>
    <row r="852" spans="10:14">
      <c r="J852" s="15" t="s">
        <v>1856</v>
      </c>
      <c r="K852" s="15" t="s">
        <v>1837</v>
      </c>
      <c r="L852" s="15" t="s">
        <v>1857</v>
      </c>
      <c r="M852" s="16">
        <v>5</v>
      </c>
      <c r="N852" s="15" t="s">
        <v>61</v>
      </c>
    </row>
    <row r="853" spans="10:14">
      <c r="J853" s="15" t="s">
        <v>1858</v>
      </c>
      <c r="K853" s="15" t="s">
        <v>1837</v>
      </c>
      <c r="L853" s="15" t="s">
        <v>42</v>
      </c>
      <c r="M853" s="16">
        <v>2</v>
      </c>
      <c r="N853" s="15" t="s">
        <v>69</v>
      </c>
    </row>
    <row r="854" spans="10:14">
      <c r="J854" s="15" t="s">
        <v>1859</v>
      </c>
      <c r="K854" s="15" t="s">
        <v>1837</v>
      </c>
      <c r="L854" s="15" t="s">
        <v>1860</v>
      </c>
      <c r="M854" s="16">
        <v>4</v>
      </c>
      <c r="N854" s="15" t="s">
        <v>93</v>
      </c>
    </row>
    <row r="855" spans="10:14">
      <c r="J855" s="15" t="s">
        <v>1861</v>
      </c>
      <c r="K855" s="15" t="s">
        <v>1837</v>
      </c>
      <c r="L855" s="15" t="s">
        <v>1862</v>
      </c>
      <c r="M855" s="16">
        <v>4</v>
      </c>
      <c r="N855" s="15" t="s">
        <v>93</v>
      </c>
    </row>
    <row r="856" spans="10:14">
      <c r="J856" s="15" t="s">
        <v>1863</v>
      </c>
      <c r="K856" s="15" t="s">
        <v>1837</v>
      </c>
      <c r="L856" s="15" t="s">
        <v>1864</v>
      </c>
      <c r="M856" s="16">
        <v>5</v>
      </c>
      <c r="N856" s="15" t="s">
        <v>61</v>
      </c>
    </row>
    <row r="857" spans="10:14">
      <c r="J857" s="15" t="s">
        <v>1865</v>
      </c>
      <c r="K857" s="15" t="s">
        <v>1837</v>
      </c>
      <c r="L857" s="15" t="s">
        <v>1866</v>
      </c>
      <c r="M857" s="16">
        <v>5</v>
      </c>
      <c r="N857" s="15" t="s">
        <v>61</v>
      </c>
    </row>
    <row r="858" spans="10:14">
      <c r="J858" s="15" t="s">
        <v>1867</v>
      </c>
      <c r="K858" s="15" t="s">
        <v>1837</v>
      </c>
      <c r="L858" s="15" t="s">
        <v>1868</v>
      </c>
      <c r="M858" s="16">
        <v>4</v>
      </c>
      <c r="N858" s="15" t="s">
        <v>93</v>
      </c>
    </row>
    <row r="859" spans="10:14">
      <c r="J859" s="15" t="s">
        <v>1869</v>
      </c>
      <c r="K859" s="15" t="s">
        <v>1870</v>
      </c>
      <c r="L859" s="15" t="s">
        <v>1871</v>
      </c>
      <c r="M859" s="16">
        <v>6</v>
      </c>
      <c r="N859" s="15" t="s">
        <v>81</v>
      </c>
    </row>
    <row r="860" spans="10:14">
      <c r="J860" s="15" t="s">
        <v>1872</v>
      </c>
      <c r="K860" s="15" t="s">
        <v>1870</v>
      </c>
      <c r="L860" s="15" t="s">
        <v>1873</v>
      </c>
      <c r="M860" s="16">
        <v>5</v>
      </c>
      <c r="N860" s="15" t="s">
        <v>61</v>
      </c>
    </row>
    <row r="861" spans="10:14">
      <c r="J861" s="15" t="s">
        <v>1874</v>
      </c>
      <c r="K861" s="15" t="s">
        <v>1870</v>
      </c>
      <c r="L861" s="15" t="s">
        <v>1875</v>
      </c>
      <c r="M861" s="16">
        <v>6</v>
      </c>
      <c r="N861" s="15" t="s">
        <v>81</v>
      </c>
    </row>
    <row r="862" spans="10:14">
      <c r="J862" s="15" t="s">
        <v>1876</v>
      </c>
      <c r="K862" s="15" t="s">
        <v>1870</v>
      </c>
      <c r="L862" s="15" t="s">
        <v>1877</v>
      </c>
      <c r="M862" s="16">
        <v>6</v>
      </c>
      <c r="N862" s="15" t="s">
        <v>81</v>
      </c>
    </row>
    <row r="863" spans="10:14">
      <c r="J863" s="15" t="s">
        <v>1878</v>
      </c>
      <c r="K863" s="15" t="s">
        <v>1870</v>
      </c>
      <c r="L863" s="15" t="s">
        <v>1879</v>
      </c>
      <c r="M863" s="16">
        <v>5</v>
      </c>
      <c r="N863" s="15" t="s">
        <v>61</v>
      </c>
    </row>
    <row r="864" spans="10:14">
      <c r="J864" s="15" t="s">
        <v>1880</v>
      </c>
      <c r="K864" s="15" t="s">
        <v>1870</v>
      </c>
      <c r="L864" s="15" t="s">
        <v>1881</v>
      </c>
      <c r="M864" s="16">
        <v>5</v>
      </c>
      <c r="N864" s="15" t="s">
        <v>61</v>
      </c>
    </row>
    <row r="865" spans="10:14">
      <c r="J865" s="15" t="s">
        <v>1882</v>
      </c>
      <c r="K865" s="15" t="s">
        <v>1870</v>
      </c>
      <c r="L865" s="15" t="s">
        <v>1883</v>
      </c>
      <c r="M865" s="16">
        <v>3</v>
      </c>
      <c r="N865" s="15" t="s">
        <v>65</v>
      </c>
    </row>
    <row r="866" spans="10:14">
      <c r="J866" s="15" t="s">
        <v>1884</v>
      </c>
      <c r="K866" s="15" t="s">
        <v>1870</v>
      </c>
      <c r="L866" s="15" t="s">
        <v>1885</v>
      </c>
      <c r="M866" s="16">
        <v>6</v>
      </c>
      <c r="N866" s="15" t="s">
        <v>81</v>
      </c>
    </row>
    <row r="867" spans="10:14">
      <c r="J867" s="15" t="s">
        <v>1886</v>
      </c>
      <c r="K867" s="15" t="s">
        <v>1870</v>
      </c>
      <c r="L867" s="15" t="s">
        <v>1887</v>
      </c>
      <c r="M867" s="16">
        <v>6</v>
      </c>
      <c r="N867" s="15" t="s">
        <v>81</v>
      </c>
    </row>
    <row r="868" spans="10:14">
      <c r="J868" s="15" t="s">
        <v>1888</v>
      </c>
      <c r="K868" s="15" t="s">
        <v>1870</v>
      </c>
      <c r="L868" s="15" t="s">
        <v>1889</v>
      </c>
      <c r="M868" s="16">
        <v>2</v>
      </c>
      <c r="N868" s="15" t="s">
        <v>69</v>
      </c>
    </row>
    <row r="869" spans="10:14">
      <c r="J869" s="15" t="s">
        <v>1890</v>
      </c>
      <c r="K869" s="15" t="s">
        <v>1870</v>
      </c>
      <c r="L869" s="15" t="s">
        <v>1891</v>
      </c>
      <c r="M869" s="16">
        <v>5</v>
      </c>
      <c r="N869" s="15" t="s">
        <v>61</v>
      </c>
    </row>
    <row r="870" spans="10:14">
      <c r="J870" s="15" t="s">
        <v>1892</v>
      </c>
      <c r="K870" s="15" t="s">
        <v>1870</v>
      </c>
      <c r="L870" s="15" t="s">
        <v>1893</v>
      </c>
      <c r="M870" s="16">
        <v>6</v>
      </c>
      <c r="N870" s="15" t="s">
        <v>81</v>
      </c>
    </row>
    <row r="871" spans="10:14">
      <c r="J871" s="15" t="s">
        <v>1894</v>
      </c>
      <c r="K871" s="15" t="s">
        <v>1870</v>
      </c>
      <c r="L871" s="15" t="s">
        <v>1895</v>
      </c>
      <c r="M871" s="16">
        <v>5</v>
      </c>
      <c r="N871" s="15" t="s">
        <v>61</v>
      </c>
    </row>
    <row r="872" spans="10:14">
      <c r="J872" s="15" t="s">
        <v>1896</v>
      </c>
      <c r="K872" s="15" t="s">
        <v>1897</v>
      </c>
      <c r="L872" s="15" t="s">
        <v>1898</v>
      </c>
      <c r="M872" s="16">
        <v>5</v>
      </c>
      <c r="N872" s="15" t="s">
        <v>61</v>
      </c>
    </row>
    <row r="873" spans="10:14">
      <c r="J873" s="15" t="s">
        <v>1899</v>
      </c>
      <c r="K873" s="15" t="s">
        <v>1897</v>
      </c>
      <c r="L873" s="15" t="s">
        <v>1900</v>
      </c>
      <c r="M873" s="16">
        <v>4</v>
      </c>
      <c r="N873" s="15" t="s">
        <v>93</v>
      </c>
    </row>
    <row r="874" spans="10:14">
      <c r="J874" s="15" t="s">
        <v>1901</v>
      </c>
      <c r="K874" s="15" t="s">
        <v>1897</v>
      </c>
      <c r="L874" s="15" t="s">
        <v>1902</v>
      </c>
      <c r="M874" s="16">
        <v>6</v>
      </c>
      <c r="N874" s="15" t="s">
        <v>81</v>
      </c>
    </row>
    <row r="875" spans="10:14">
      <c r="J875" s="15" t="s">
        <v>1903</v>
      </c>
      <c r="K875" s="15" t="s">
        <v>1897</v>
      </c>
      <c r="L875" s="15" t="s">
        <v>1904</v>
      </c>
      <c r="M875" s="16">
        <v>6</v>
      </c>
      <c r="N875" s="15" t="s">
        <v>81</v>
      </c>
    </row>
    <row r="876" spans="10:14">
      <c r="J876" s="15" t="s">
        <v>1905</v>
      </c>
      <c r="K876" s="15" t="s">
        <v>1897</v>
      </c>
      <c r="L876" s="15" t="s">
        <v>42</v>
      </c>
      <c r="M876" s="16">
        <v>4</v>
      </c>
      <c r="N876" s="15" t="s">
        <v>93</v>
      </c>
    </row>
    <row r="877" spans="10:14">
      <c r="J877" s="15" t="s">
        <v>1906</v>
      </c>
      <c r="K877" s="15" t="s">
        <v>1897</v>
      </c>
      <c r="L877" s="15" t="s">
        <v>1907</v>
      </c>
      <c r="M877" s="16">
        <v>5</v>
      </c>
      <c r="N877" s="15" t="s">
        <v>61</v>
      </c>
    </row>
    <row r="878" spans="10:14">
      <c r="J878" s="15" t="s">
        <v>1908</v>
      </c>
      <c r="K878" s="15" t="s">
        <v>1897</v>
      </c>
      <c r="L878" s="15" t="s">
        <v>1909</v>
      </c>
      <c r="M878" s="16">
        <v>5</v>
      </c>
      <c r="N878" s="15" t="s">
        <v>61</v>
      </c>
    </row>
    <row r="879" spans="10:14">
      <c r="J879" s="15" t="s">
        <v>1910</v>
      </c>
      <c r="K879" s="15" t="s">
        <v>1911</v>
      </c>
      <c r="L879" s="15" t="s">
        <v>1912</v>
      </c>
      <c r="M879" s="16">
        <v>2</v>
      </c>
      <c r="N879" s="15" t="s">
        <v>69</v>
      </c>
    </row>
    <row r="880" spans="10:14">
      <c r="J880" s="15" t="s">
        <v>1913</v>
      </c>
      <c r="K880" s="15" t="s">
        <v>1911</v>
      </c>
      <c r="L880" s="15" t="s">
        <v>1914</v>
      </c>
      <c r="M880" s="16">
        <v>2</v>
      </c>
      <c r="N880" s="15" t="s">
        <v>69</v>
      </c>
    </row>
    <row r="881" spans="10:14">
      <c r="J881" s="15" t="s">
        <v>1915</v>
      </c>
      <c r="K881" s="15" t="s">
        <v>1911</v>
      </c>
      <c r="L881" s="15" t="s">
        <v>1916</v>
      </c>
      <c r="M881" s="16">
        <v>2</v>
      </c>
      <c r="N881" s="15" t="s">
        <v>69</v>
      </c>
    </row>
    <row r="882" spans="10:14">
      <c r="J882" s="15" t="s">
        <v>1917</v>
      </c>
      <c r="K882" s="15" t="s">
        <v>1911</v>
      </c>
      <c r="L882" s="15" t="s">
        <v>1918</v>
      </c>
      <c r="M882" s="16">
        <v>4</v>
      </c>
      <c r="N882" s="15" t="s">
        <v>93</v>
      </c>
    </row>
    <row r="883" spans="10:14">
      <c r="J883" s="15" t="s">
        <v>1919</v>
      </c>
      <c r="K883" s="15" t="s">
        <v>1911</v>
      </c>
      <c r="L883" s="15" t="s">
        <v>1920</v>
      </c>
      <c r="M883" s="16">
        <v>3</v>
      </c>
      <c r="N883" s="15" t="s">
        <v>65</v>
      </c>
    </row>
    <row r="884" spans="10:14">
      <c r="J884" s="15" t="s">
        <v>1921</v>
      </c>
      <c r="K884" s="15" t="s">
        <v>1911</v>
      </c>
      <c r="L884" s="15" t="s">
        <v>1922</v>
      </c>
      <c r="M884" s="16">
        <v>3</v>
      </c>
      <c r="N884" s="15" t="s">
        <v>65</v>
      </c>
    </row>
    <row r="885" spans="10:14">
      <c r="J885" s="15" t="s">
        <v>1923</v>
      </c>
      <c r="K885" s="15" t="s">
        <v>1911</v>
      </c>
      <c r="L885" s="15" t="s">
        <v>1924</v>
      </c>
      <c r="M885" s="16">
        <v>3</v>
      </c>
      <c r="N885" s="15" t="s">
        <v>65</v>
      </c>
    </row>
    <row r="886" spans="10:14">
      <c r="J886" s="15" t="s">
        <v>1925</v>
      </c>
      <c r="K886" s="15" t="s">
        <v>1911</v>
      </c>
      <c r="L886" s="15" t="s">
        <v>1926</v>
      </c>
      <c r="M886" s="16">
        <v>3</v>
      </c>
      <c r="N886" s="15" t="s">
        <v>65</v>
      </c>
    </row>
    <row r="887" spans="10:14">
      <c r="J887" s="15" t="s">
        <v>1927</v>
      </c>
      <c r="K887" s="15" t="s">
        <v>1911</v>
      </c>
      <c r="L887" s="15" t="s">
        <v>1928</v>
      </c>
      <c r="M887" s="16">
        <v>3</v>
      </c>
      <c r="N887" s="15" t="s">
        <v>65</v>
      </c>
    </row>
    <row r="888" spans="10:14">
      <c r="J888" s="15" t="s">
        <v>1929</v>
      </c>
      <c r="K888" s="15" t="s">
        <v>1911</v>
      </c>
      <c r="L888" s="15" t="s">
        <v>1930</v>
      </c>
      <c r="M888" s="16">
        <v>2</v>
      </c>
      <c r="N888" s="15" t="s">
        <v>69</v>
      </c>
    </row>
    <row r="889" spans="10:14">
      <c r="J889" s="15" t="s">
        <v>1931</v>
      </c>
      <c r="K889" s="15" t="s">
        <v>1911</v>
      </c>
      <c r="L889" s="15" t="s">
        <v>1932</v>
      </c>
      <c r="M889" s="16">
        <v>3</v>
      </c>
      <c r="N889" s="15" t="s">
        <v>65</v>
      </c>
    </row>
    <row r="890" spans="10:14">
      <c r="J890" s="15" t="s">
        <v>1933</v>
      </c>
      <c r="K890" s="15" t="s">
        <v>1934</v>
      </c>
      <c r="L890" s="15" t="s">
        <v>1935</v>
      </c>
      <c r="M890" s="16">
        <v>5</v>
      </c>
      <c r="N890" s="15" t="s">
        <v>61</v>
      </c>
    </row>
    <row r="891" spans="10:14">
      <c r="J891" s="15" t="s">
        <v>1936</v>
      </c>
      <c r="K891" s="15" t="s">
        <v>1934</v>
      </c>
      <c r="L891" s="15" t="s">
        <v>1937</v>
      </c>
      <c r="M891" s="16">
        <v>5</v>
      </c>
      <c r="N891" s="15" t="s">
        <v>61</v>
      </c>
    </row>
    <row r="892" spans="10:14">
      <c r="J892" s="15" t="s">
        <v>1938</v>
      </c>
      <c r="K892" s="15" t="s">
        <v>1934</v>
      </c>
      <c r="L892" s="15" t="s">
        <v>1939</v>
      </c>
      <c r="M892" s="16">
        <v>6</v>
      </c>
      <c r="N892" s="15" t="s">
        <v>81</v>
      </c>
    </row>
    <row r="893" spans="10:14">
      <c r="J893" s="15" t="s">
        <v>1940</v>
      </c>
      <c r="K893" s="15" t="s">
        <v>1934</v>
      </c>
      <c r="L893" s="15" t="s">
        <v>1941</v>
      </c>
      <c r="M893" s="16">
        <v>3</v>
      </c>
      <c r="N893" s="15" t="s">
        <v>65</v>
      </c>
    </row>
    <row r="894" spans="10:14">
      <c r="J894" s="15" t="s">
        <v>1942</v>
      </c>
      <c r="K894" s="15" t="s">
        <v>1934</v>
      </c>
      <c r="L894" s="15" t="s">
        <v>42</v>
      </c>
      <c r="M894" s="16">
        <v>2</v>
      </c>
      <c r="N894" s="15" t="s">
        <v>69</v>
      </c>
    </row>
    <row r="895" spans="10:14">
      <c r="J895" s="15" t="s">
        <v>1943</v>
      </c>
      <c r="K895" s="15" t="s">
        <v>1934</v>
      </c>
      <c r="L895" s="15" t="s">
        <v>1944</v>
      </c>
      <c r="M895" s="16">
        <v>3</v>
      </c>
      <c r="N895" s="15" t="s">
        <v>65</v>
      </c>
    </row>
    <row r="896" spans="10:14">
      <c r="J896" s="15" t="s">
        <v>1945</v>
      </c>
      <c r="K896" s="15" t="s">
        <v>1934</v>
      </c>
      <c r="L896" s="15" t="s">
        <v>1736</v>
      </c>
      <c r="M896" s="16">
        <v>5</v>
      </c>
      <c r="N896" s="15" t="s">
        <v>61</v>
      </c>
    </row>
    <row r="897" spans="10:14">
      <c r="J897" s="15" t="s">
        <v>1946</v>
      </c>
      <c r="K897" s="15" t="s">
        <v>1934</v>
      </c>
      <c r="L897" s="15" t="s">
        <v>1947</v>
      </c>
      <c r="M897" s="16">
        <v>5</v>
      </c>
      <c r="N897" s="15" t="s">
        <v>61</v>
      </c>
    </row>
    <row r="898" spans="10:14">
      <c r="J898" s="15" t="s">
        <v>1948</v>
      </c>
      <c r="K898" s="15" t="s">
        <v>1934</v>
      </c>
      <c r="L898" s="15" t="s">
        <v>1949</v>
      </c>
      <c r="M898" s="16">
        <v>6</v>
      </c>
      <c r="N898" s="15" t="s">
        <v>81</v>
      </c>
    </row>
    <row r="899" spans="10:14">
      <c r="J899" s="15" t="s">
        <v>1950</v>
      </c>
      <c r="K899" s="15" t="s">
        <v>1934</v>
      </c>
      <c r="L899" s="15" t="s">
        <v>1951</v>
      </c>
      <c r="M899" s="16">
        <v>3</v>
      </c>
      <c r="N899" s="15" t="s">
        <v>65</v>
      </c>
    </row>
    <row r="900" spans="10:14">
      <c r="J900" s="15" t="s">
        <v>1952</v>
      </c>
      <c r="K900" s="15" t="s">
        <v>1934</v>
      </c>
      <c r="L900" s="15" t="s">
        <v>1510</v>
      </c>
      <c r="M900" s="16">
        <v>5</v>
      </c>
      <c r="N900" s="15" t="s">
        <v>61</v>
      </c>
    </row>
    <row r="901" spans="10:14">
      <c r="J901" s="15" t="s">
        <v>1953</v>
      </c>
      <c r="K901" s="15" t="s">
        <v>1934</v>
      </c>
      <c r="L901" s="15" t="s">
        <v>1954</v>
      </c>
      <c r="M901" s="16">
        <v>4</v>
      </c>
      <c r="N901" s="15" t="s">
        <v>93</v>
      </c>
    </row>
    <row r="902" spans="10:14">
      <c r="J902" s="15" t="s">
        <v>1955</v>
      </c>
      <c r="K902" s="15" t="s">
        <v>1956</v>
      </c>
      <c r="L902" s="15" t="s">
        <v>1957</v>
      </c>
      <c r="M902" s="16">
        <v>2</v>
      </c>
      <c r="N902" s="15" t="s">
        <v>69</v>
      </c>
    </row>
    <row r="903" spans="10:14">
      <c r="J903" s="15" t="s">
        <v>1958</v>
      </c>
      <c r="K903" s="15" t="s">
        <v>1956</v>
      </c>
      <c r="L903" s="15" t="s">
        <v>1959</v>
      </c>
      <c r="M903" s="16">
        <v>4</v>
      </c>
      <c r="N903" s="15" t="s">
        <v>93</v>
      </c>
    </row>
    <row r="904" spans="10:14">
      <c r="J904" s="15" t="s">
        <v>1960</v>
      </c>
      <c r="K904" s="15" t="s">
        <v>1956</v>
      </c>
      <c r="L904" s="15" t="s">
        <v>1961</v>
      </c>
      <c r="M904" s="16">
        <v>3</v>
      </c>
      <c r="N904" s="15" t="s">
        <v>65</v>
      </c>
    </row>
    <row r="905" spans="10:14">
      <c r="J905" s="15" t="s">
        <v>1962</v>
      </c>
      <c r="K905" s="15" t="s">
        <v>1956</v>
      </c>
      <c r="L905" s="15" t="s">
        <v>1963</v>
      </c>
      <c r="M905" s="16">
        <v>3</v>
      </c>
      <c r="N905" s="15" t="s">
        <v>65</v>
      </c>
    </row>
    <row r="906" spans="10:14">
      <c r="J906" s="15" t="s">
        <v>1964</v>
      </c>
      <c r="K906" s="15" t="s">
        <v>1956</v>
      </c>
      <c r="L906" s="15" t="s">
        <v>1965</v>
      </c>
      <c r="M906" s="16">
        <v>4</v>
      </c>
      <c r="N906" s="15" t="s">
        <v>93</v>
      </c>
    </row>
    <row r="907" spans="10:14">
      <c r="J907" s="15" t="s">
        <v>1966</v>
      </c>
      <c r="K907" s="15" t="s">
        <v>1956</v>
      </c>
      <c r="L907" s="15" t="s">
        <v>1967</v>
      </c>
      <c r="M907" s="16">
        <v>3</v>
      </c>
      <c r="N907" s="15" t="s">
        <v>65</v>
      </c>
    </row>
    <row r="908" spans="10:14">
      <c r="J908" s="15" t="s">
        <v>1968</v>
      </c>
      <c r="K908" s="15" t="s">
        <v>1956</v>
      </c>
      <c r="L908" s="15" t="s">
        <v>1969</v>
      </c>
      <c r="M908" s="16">
        <v>4</v>
      </c>
      <c r="N908" s="15" t="s">
        <v>93</v>
      </c>
    </row>
    <row r="909" spans="10:14">
      <c r="J909" s="15" t="s">
        <v>1970</v>
      </c>
      <c r="K909" s="15" t="s">
        <v>1956</v>
      </c>
      <c r="L909" s="15" t="s">
        <v>1971</v>
      </c>
      <c r="M909" s="16">
        <v>5</v>
      </c>
      <c r="N909" s="15" t="s">
        <v>61</v>
      </c>
    </row>
    <row r="910" spans="10:14">
      <c r="J910" s="15" t="s">
        <v>1972</v>
      </c>
      <c r="K910" s="15" t="s">
        <v>1956</v>
      </c>
      <c r="L910" s="15" t="s">
        <v>1973</v>
      </c>
      <c r="M910" s="16">
        <v>5</v>
      </c>
      <c r="N910" s="15" t="s">
        <v>61</v>
      </c>
    </row>
    <row r="911" spans="10:14">
      <c r="J911" s="15" t="s">
        <v>1974</v>
      </c>
      <c r="K911" s="15" t="s">
        <v>1956</v>
      </c>
      <c r="L911" s="15" t="s">
        <v>1527</v>
      </c>
      <c r="M911" s="16">
        <v>4</v>
      </c>
      <c r="N911" s="15" t="s">
        <v>93</v>
      </c>
    </row>
    <row r="912" spans="10:14">
      <c r="J912" s="15" t="s">
        <v>1975</v>
      </c>
      <c r="K912" s="15" t="s">
        <v>1956</v>
      </c>
      <c r="L912" s="15" t="s">
        <v>1976</v>
      </c>
      <c r="M912" s="16">
        <v>3</v>
      </c>
      <c r="N912" s="15" t="s">
        <v>65</v>
      </c>
    </row>
    <row r="913" spans="10:14">
      <c r="J913" s="15" t="s">
        <v>1977</v>
      </c>
      <c r="K913" s="15" t="s">
        <v>1956</v>
      </c>
      <c r="L913" s="15" t="s">
        <v>1978</v>
      </c>
      <c r="M913" s="16">
        <v>3</v>
      </c>
      <c r="N913" s="15" t="s">
        <v>65</v>
      </c>
    </row>
    <row r="914" spans="10:14">
      <c r="J914" s="15" t="s">
        <v>1979</v>
      </c>
      <c r="K914" s="15" t="s">
        <v>1956</v>
      </c>
      <c r="L914" s="15" t="s">
        <v>1980</v>
      </c>
      <c r="M914" s="16">
        <v>1</v>
      </c>
      <c r="N914" s="15" t="s">
        <v>150</v>
      </c>
    </row>
    <row r="915" spans="10:14">
      <c r="J915" s="15" t="s">
        <v>1981</v>
      </c>
      <c r="K915" s="15" t="s">
        <v>1956</v>
      </c>
      <c r="L915" s="15" t="s">
        <v>1982</v>
      </c>
      <c r="M915" s="16">
        <v>3</v>
      </c>
      <c r="N915" s="15" t="s">
        <v>65</v>
      </c>
    </row>
    <row r="916" spans="10:14">
      <c r="J916" s="15" t="s">
        <v>1983</v>
      </c>
      <c r="K916" s="15" t="s">
        <v>1956</v>
      </c>
      <c r="L916" s="15" t="s">
        <v>1984</v>
      </c>
      <c r="M916" s="16">
        <v>5</v>
      </c>
      <c r="N916" s="15" t="s">
        <v>61</v>
      </c>
    </row>
    <row r="917" spans="10:14">
      <c r="J917" s="15" t="s">
        <v>1985</v>
      </c>
      <c r="K917" s="15" t="s">
        <v>1956</v>
      </c>
      <c r="L917" s="15" t="s">
        <v>1986</v>
      </c>
      <c r="M917" s="16">
        <v>4</v>
      </c>
      <c r="N917" s="15" t="s">
        <v>93</v>
      </c>
    </row>
    <row r="918" spans="10:14">
      <c r="J918" s="15" t="s">
        <v>1987</v>
      </c>
      <c r="K918" s="15" t="s">
        <v>1956</v>
      </c>
      <c r="L918" s="15" t="s">
        <v>1988</v>
      </c>
      <c r="M918" s="16">
        <v>3</v>
      </c>
      <c r="N918" s="15" t="s">
        <v>65</v>
      </c>
    </row>
    <row r="919" spans="10:14">
      <c r="J919" s="15" t="s">
        <v>1989</v>
      </c>
      <c r="K919" s="15" t="s">
        <v>1956</v>
      </c>
      <c r="L919" s="15" t="s">
        <v>1990</v>
      </c>
      <c r="M919" s="16">
        <v>2</v>
      </c>
      <c r="N919" s="15" t="s">
        <v>69</v>
      </c>
    </row>
    <row r="920" spans="10:14">
      <c r="J920" s="15" t="s">
        <v>1991</v>
      </c>
      <c r="K920" s="15" t="s">
        <v>1992</v>
      </c>
      <c r="L920" s="15" t="s">
        <v>1993</v>
      </c>
      <c r="M920" s="16">
        <v>4</v>
      </c>
      <c r="N920" s="15" t="s">
        <v>93</v>
      </c>
    </row>
    <row r="921" spans="10:14">
      <c r="J921" s="15" t="s">
        <v>1994</v>
      </c>
      <c r="K921" s="15" t="s">
        <v>1992</v>
      </c>
      <c r="L921" s="15" t="s">
        <v>1995</v>
      </c>
      <c r="M921" s="16">
        <v>4</v>
      </c>
      <c r="N921" s="15" t="s">
        <v>93</v>
      </c>
    </row>
    <row r="922" spans="10:14">
      <c r="J922" s="15" t="s">
        <v>1996</v>
      </c>
      <c r="K922" s="15" t="s">
        <v>1992</v>
      </c>
      <c r="L922" s="15" t="s">
        <v>1997</v>
      </c>
      <c r="M922" s="16">
        <v>5</v>
      </c>
      <c r="N922" s="15" t="s">
        <v>61</v>
      </c>
    </row>
    <row r="923" spans="10:14">
      <c r="J923" s="15" t="s">
        <v>1998</v>
      </c>
      <c r="K923" s="15" t="s">
        <v>1992</v>
      </c>
      <c r="L923" s="15" t="s">
        <v>42</v>
      </c>
      <c r="M923" s="16">
        <v>2</v>
      </c>
      <c r="N923" s="15" t="s">
        <v>69</v>
      </c>
    </row>
    <row r="924" spans="10:14">
      <c r="J924" s="15" t="s">
        <v>1999</v>
      </c>
      <c r="K924" s="15" t="s">
        <v>1992</v>
      </c>
      <c r="L924" s="15" t="s">
        <v>2000</v>
      </c>
      <c r="M924" s="16">
        <v>5</v>
      </c>
      <c r="N924" s="15" t="s">
        <v>61</v>
      </c>
    </row>
    <row r="925" spans="10:14">
      <c r="J925" s="15" t="s">
        <v>2001</v>
      </c>
      <c r="K925" s="15" t="s">
        <v>1992</v>
      </c>
      <c r="L925" s="15" t="s">
        <v>1212</v>
      </c>
      <c r="M925" s="16">
        <v>4</v>
      </c>
      <c r="N925" s="15" t="s">
        <v>93</v>
      </c>
    </row>
    <row r="926" spans="10:14">
      <c r="J926" s="15" t="s">
        <v>2002</v>
      </c>
      <c r="K926" s="15" t="s">
        <v>1992</v>
      </c>
      <c r="L926" s="15" t="s">
        <v>2003</v>
      </c>
      <c r="M926" s="16">
        <v>4</v>
      </c>
      <c r="N926" s="15" t="s">
        <v>93</v>
      </c>
    </row>
    <row r="927" spans="10:14">
      <c r="J927" s="15" t="s">
        <v>2004</v>
      </c>
      <c r="K927" s="15" t="s">
        <v>1992</v>
      </c>
      <c r="L927" s="15" t="s">
        <v>2005</v>
      </c>
      <c r="M927" s="16">
        <v>4</v>
      </c>
      <c r="N927" s="15" t="s">
        <v>93</v>
      </c>
    </row>
    <row r="928" spans="10:14">
      <c r="J928" s="15" t="s">
        <v>2006</v>
      </c>
      <c r="K928" s="15" t="s">
        <v>2007</v>
      </c>
      <c r="L928" s="15" t="s">
        <v>2008</v>
      </c>
      <c r="M928" s="16">
        <v>4</v>
      </c>
      <c r="N928" s="15" t="s">
        <v>93</v>
      </c>
    </row>
    <row r="929" spans="10:14">
      <c r="J929" s="15" t="s">
        <v>2009</v>
      </c>
      <c r="K929" s="15" t="s">
        <v>2007</v>
      </c>
      <c r="L929" s="15" t="s">
        <v>2010</v>
      </c>
      <c r="M929" s="16">
        <v>3</v>
      </c>
      <c r="N929" s="15" t="s">
        <v>65</v>
      </c>
    </row>
    <row r="930" spans="10:14">
      <c r="J930" s="15" t="s">
        <v>2011</v>
      </c>
      <c r="K930" s="15" t="s">
        <v>2007</v>
      </c>
      <c r="L930" s="15" t="s">
        <v>2012</v>
      </c>
      <c r="M930" s="16">
        <v>5</v>
      </c>
      <c r="N930" s="15" t="s">
        <v>61</v>
      </c>
    </row>
    <row r="931" spans="10:14">
      <c r="J931" s="15" t="s">
        <v>2013</v>
      </c>
      <c r="K931" s="15" t="s">
        <v>2007</v>
      </c>
      <c r="L931" s="15" t="s">
        <v>42</v>
      </c>
      <c r="M931" s="16">
        <v>2</v>
      </c>
      <c r="N931" s="15" t="s">
        <v>69</v>
      </c>
    </row>
    <row r="932" spans="10:14">
      <c r="J932" s="15" t="s">
        <v>2014</v>
      </c>
      <c r="K932" s="15" t="s">
        <v>2007</v>
      </c>
      <c r="L932" s="15" t="s">
        <v>2015</v>
      </c>
      <c r="M932" s="16">
        <v>4</v>
      </c>
      <c r="N932" s="15" t="s">
        <v>93</v>
      </c>
    </row>
    <row r="933" spans="10:14">
      <c r="J933" s="15" t="s">
        <v>2016</v>
      </c>
      <c r="K933" s="15" t="s">
        <v>2007</v>
      </c>
      <c r="L933" s="15" t="s">
        <v>1696</v>
      </c>
      <c r="M933" s="16">
        <v>4</v>
      </c>
      <c r="N933" s="15" t="s">
        <v>93</v>
      </c>
    </row>
    <row r="934" spans="10:14">
      <c r="J934" s="15" t="s">
        <v>2017</v>
      </c>
      <c r="K934" s="15" t="s">
        <v>2018</v>
      </c>
      <c r="L934" s="15" t="s">
        <v>2019</v>
      </c>
      <c r="M934" s="16">
        <v>6</v>
      </c>
      <c r="N934" s="15" t="s">
        <v>81</v>
      </c>
    </row>
    <row r="935" spans="10:14">
      <c r="J935" s="15" t="s">
        <v>2020</v>
      </c>
      <c r="K935" s="15" t="s">
        <v>2018</v>
      </c>
      <c r="L935" s="15" t="s">
        <v>2021</v>
      </c>
      <c r="M935" s="16">
        <v>6</v>
      </c>
      <c r="N935" s="15" t="s">
        <v>81</v>
      </c>
    </row>
    <row r="936" spans="10:14">
      <c r="J936" s="15" t="s">
        <v>2022</v>
      </c>
      <c r="K936" s="15" t="s">
        <v>2018</v>
      </c>
      <c r="L936" s="15" t="s">
        <v>2023</v>
      </c>
      <c r="M936" s="16">
        <v>6</v>
      </c>
      <c r="N936" s="15" t="s">
        <v>81</v>
      </c>
    </row>
    <row r="937" spans="10:14">
      <c r="J937" s="15" t="s">
        <v>2024</v>
      </c>
      <c r="K937" s="15" t="s">
        <v>2018</v>
      </c>
      <c r="L937" s="15" t="s">
        <v>2025</v>
      </c>
      <c r="M937" s="16">
        <v>6</v>
      </c>
      <c r="N937" s="15" t="s">
        <v>81</v>
      </c>
    </row>
    <row r="938" spans="10:14">
      <c r="J938" s="15" t="s">
        <v>2026</v>
      </c>
      <c r="K938" s="15" t="s">
        <v>2018</v>
      </c>
      <c r="L938" s="15" t="s">
        <v>451</v>
      </c>
      <c r="M938" s="16">
        <v>4</v>
      </c>
      <c r="N938" s="15" t="s">
        <v>93</v>
      </c>
    </row>
    <row r="939" spans="10:14">
      <c r="J939" s="15" t="s">
        <v>2027</v>
      </c>
      <c r="K939" s="15" t="s">
        <v>2018</v>
      </c>
      <c r="L939" s="15" t="s">
        <v>2028</v>
      </c>
      <c r="M939" s="16">
        <v>5</v>
      </c>
      <c r="N939" s="15" t="s">
        <v>61</v>
      </c>
    </row>
    <row r="940" spans="10:14">
      <c r="J940" s="15" t="s">
        <v>2029</v>
      </c>
      <c r="K940" s="15" t="s">
        <v>2018</v>
      </c>
      <c r="L940" s="15" t="s">
        <v>2030</v>
      </c>
      <c r="M940" s="16">
        <v>5</v>
      </c>
      <c r="N940" s="15" t="s">
        <v>61</v>
      </c>
    </row>
    <row r="941" spans="10:14">
      <c r="J941" s="15" t="s">
        <v>2031</v>
      </c>
      <c r="K941" s="15" t="s">
        <v>2018</v>
      </c>
      <c r="L941" s="15" t="s">
        <v>2032</v>
      </c>
      <c r="M941" s="16">
        <v>6</v>
      </c>
      <c r="N941" s="15" t="s">
        <v>81</v>
      </c>
    </row>
    <row r="942" spans="10:14">
      <c r="J942" s="15" t="s">
        <v>2033</v>
      </c>
      <c r="K942" s="15" t="s">
        <v>2018</v>
      </c>
      <c r="L942" s="15" t="s">
        <v>2034</v>
      </c>
      <c r="M942" s="16">
        <v>2</v>
      </c>
      <c r="N942" s="15" t="s">
        <v>69</v>
      </c>
    </row>
    <row r="943" spans="10:14">
      <c r="J943" s="15" t="s">
        <v>2035</v>
      </c>
      <c r="K943" s="15" t="s">
        <v>2018</v>
      </c>
      <c r="L943" s="15" t="s">
        <v>2036</v>
      </c>
      <c r="M943" s="16">
        <v>6</v>
      </c>
      <c r="N943" s="15" t="s">
        <v>81</v>
      </c>
    </row>
    <row r="944" spans="10:14">
      <c r="J944" s="15" t="s">
        <v>2037</v>
      </c>
      <c r="K944" s="15" t="s">
        <v>2018</v>
      </c>
      <c r="L944" s="15" t="s">
        <v>2038</v>
      </c>
      <c r="M944" s="16">
        <v>6</v>
      </c>
      <c r="N944" s="15" t="s">
        <v>81</v>
      </c>
    </row>
    <row r="945" spans="10:14">
      <c r="J945" s="15" t="s">
        <v>2039</v>
      </c>
      <c r="K945" s="15" t="s">
        <v>2018</v>
      </c>
      <c r="L945" s="15" t="s">
        <v>1928</v>
      </c>
      <c r="M945" s="16">
        <v>6</v>
      </c>
      <c r="N945" s="15" t="s">
        <v>81</v>
      </c>
    </row>
    <row r="946" spans="10:14">
      <c r="J946" s="15" t="s">
        <v>2040</v>
      </c>
      <c r="K946" s="15" t="s">
        <v>2018</v>
      </c>
      <c r="L946" s="15" t="s">
        <v>2041</v>
      </c>
      <c r="M946" s="16">
        <v>4</v>
      </c>
      <c r="N946" s="15" t="s">
        <v>93</v>
      </c>
    </row>
    <row r="947" spans="10:14">
      <c r="J947" s="15" t="s">
        <v>2042</v>
      </c>
      <c r="K947" s="15" t="s">
        <v>2043</v>
      </c>
      <c r="L947" s="15" t="s">
        <v>2044</v>
      </c>
      <c r="M947" s="16">
        <v>2</v>
      </c>
      <c r="N947" s="15" t="s">
        <v>69</v>
      </c>
    </row>
    <row r="948" spans="10:14">
      <c r="J948" s="15" t="s">
        <v>2045</v>
      </c>
      <c r="K948" s="15" t="s">
        <v>2043</v>
      </c>
      <c r="L948" s="15" t="s">
        <v>2046</v>
      </c>
      <c r="M948" s="16">
        <v>3</v>
      </c>
      <c r="N948" s="15" t="s">
        <v>65</v>
      </c>
    </row>
    <row r="949" spans="10:14">
      <c r="J949" s="15" t="s">
        <v>2047</v>
      </c>
      <c r="K949" s="15" t="s">
        <v>2043</v>
      </c>
      <c r="L949" s="15" t="s">
        <v>2048</v>
      </c>
      <c r="M949" s="16">
        <v>3</v>
      </c>
      <c r="N949" s="15" t="s">
        <v>65</v>
      </c>
    </row>
    <row r="950" spans="10:14">
      <c r="J950" s="15" t="s">
        <v>2049</v>
      </c>
      <c r="K950" s="15" t="s">
        <v>2043</v>
      </c>
      <c r="L950" s="15" t="s">
        <v>2050</v>
      </c>
      <c r="M950" s="16">
        <v>2</v>
      </c>
      <c r="N950" s="15" t="s">
        <v>69</v>
      </c>
    </row>
    <row r="951" spans="10:14">
      <c r="J951" s="15" t="s">
        <v>2051</v>
      </c>
      <c r="K951" s="15" t="s">
        <v>2043</v>
      </c>
      <c r="L951" s="15" t="s">
        <v>42</v>
      </c>
      <c r="M951" s="16">
        <v>2</v>
      </c>
      <c r="N951" s="15" t="s">
        <v>69</v>
      </c>
    </row>
    <row r="952" spans="10:14">
      <c r="J952" s="15" t="s">
        <v>2052</v>
      </c>
      <c r="K952" s="15" t="s">
        <v>2043</v>
      </c>
      <c r="L952" s="15" t="s">
        <v>2053</v>
      </c>
      <c r="M952" s="16">
        <v>3</v>
      </c>
      <c r="N952" s="15" t="s">
        <v>65</v>
      </c>
    </row>
    <row r="953" spans="10:14">
      <c r="J953" s="15" t="s">
        <v>2054</v>
      </c>
      <c r="K953" s="15" t="s">
        <v>2055</v>
      </c>
      <c r="L953" s="15" t="s">
        <v>2056</v>
      </c>
      <c r="M953" s="16">
        <v>4</v>
      </c>
      <c r="N953" s="15" t="s">
        <v>93</v>
      </c>
    </row>
    <row r="954" spans="10:14">
      <c r="J954" s="15" t="s">
        <v>2057</v>
      </c>
      <c r="K954" s="15" t="s">
        <v>2055</v>
      </c>
      <c r="L954" s="15" t="s">
        <v>1573</v>
      </c>
      <c r="M954" s="16">
        <v>6</v>
      </c>
      <c r="N954" s="15" t="s">
        <v>81</v>
      </c>
    </row>
    <row r="955" spans="10:14">
      <c r="J955" s="15" t="s">
        <v>2058</v>
      </c>
      <c r="K955" s="15" t="s">
        <v>2055</v>
      </c>
      <c r="L955" s="15" t="s">
        <v>2059</v>
      </c>
      <c r="M955" s="16">
        <v>4</v>
      </c>
      <c r="N955" s="15" t="s">
        <v>93</v>
      </c>
    </row>
    <row r="956" spans="10:14">
      <c r="J956" s="15" t="s">
        <v>2060</v>
      </c>
      <c r="K956" s="15" t="s">
        <v>2055</v>
      </c>
      <c r="L956" s="15" t="s">
        <v>2061</v>
      </c>
      <c r="M956" s="16">
        <v>4</v>
      </c>
      <c r="N956" s="15" t="s">
        <v>93</v>
      </c>
    </row>
    <row r="957" spans="10:14">
      <c r="J957" s="15" t="s">
        <v>2062</v>
      </c>
      <c r="K957" s="15" t="s">
        <v>2055</v>
      </c>
      <c r="L957" s="15" t="s">
        <v>2063</v>
      </c>
      <c r="M957" s="16">
        <v>4</v>
      </c>
      <c r="N957" s="15" t="s">
        <v>93</v>
      </c>
    </row>
    <row r="958" spans="10:14">
      <c r="J958" s="15" t="s">
        <v>2064</v>
      </c>
      <c r="K958" s="15" t="s">
        <v>2055</v>
      </c>
      <c r="L958" s="15" t="s">
        <v>2065</v>
      </c>
      <c r="M958" s="16">
        <v>5</v>
      </c>
      <c r="N958" s="15" t="s">
        <v>61</v>
      </c>
    </row>
    <row r="959" spans="10:14">
      <c r="J959" s="15" t="s">
        <v>2066</v>
      </c>
      <c r="K959" s="15" t="s">
        <v>2055</v>
      </c>
      <c r="L959" s="15" t="s">
        <v>2067</v>
      </c>
      <c r="M959" s="16">
        <v>6</v>
      </c>
      <c r="N959" s="15" t="s">
        <v>81</v>
      </c>
    </row>
    <row r="960" spans="10:14">
      <c r="J960" s="15" t="s">
        <v>2068</v>
      </c>
      <c r="K960" s="15" t="s">
        <v>2055</v>
      </c>
      <c r="L960" s="15" t="s">
        <v>42</v>
      </c>
      <c r="M960" s="16">
        <v>2</v>
      </c>
      <c r="N960" s="15" t="s">
        <v>69</v>
      </c>
    </row>
    <row r="961" spans="10:14">
      <c r="J961" s="15" t="s">
        <v>2069</v>
      </c>
      <c r="K961" s="15" t="s">
        <v>2055</v>
      </c>
      <c r="L961" s="15" t="s">
        <v>2070</v>
      </c>
      <c r="M961" s="16">
        <v>5</v>
      </c>
      <c r="N961" s="15" t="s">
        <v>61</v>
      </c>
    </row>
    <row r="962" spans="10:14">
      <c r="J962" s="15" t="s">
        <v>2071</v>
      </c>
      <c r="K962" s="15" t="s">
        <v>2055</v>
      </c>
      <c r="L962" s="15" t="s">
        <v>2072</v>
      </c>
      <c r="M962" s="16">
        <v>4</v>
      </c>
      <c r="N962" s="15" t="s">
        <v>93</v>
      </c>
    </row>
    <row r="963" spans="10:14">
      <c r="J963" s="15" t="s">
        <v>2073</v>
      </c>
      <c r="K963" s="15" t="s">
        <v>2055</v>
      </c>
      <c r="L963" s="15" t="s">
        <v>2074</v>
      </c>
      <c r="M963" s="16">
        <v>3</v>
      </c>
      <c r="N963" s="15" t="s">
        <v>65</v>
      </c>
    </row>
    <row r="964" spans="10:14">
      <c r="J964" s="15" t="s">
        <v>2075</v>
      </c>
      <c r="K964" s="15" t="s">
        <v>2055</v>
      </c>
      <c r="L964" s="15" t="s">
        <v>2076</v>
      </c>
      <c r="M964" s="16">
        <v>4</v>
      </c>
      <c r="N964" s="15" t="s">
        <v>93</v>
      </c>
    </row>
    <row r="965" spans="10:14">
      <c r="J965" s="15" t="s">
        <v>2077</v>
      </c>
      <c r="K965" s="15" t="s">
        <v>2055</v>
      </c>
      <c r="L965" s="15" t="s">
        <v>2078</v>
      </c>
      <c r="M965" s="16">
        <v>4</v>
      </c>
      <c r="N965" s="15" t="s">
        <v>93</v>
      </c>
    </row>
    <row r="966" spans="10:14">
      <c r="J966" s="15" t="s">
        <v>2079</v>
      </c>
      <c r="K966" s="15" t="s">
        <v>2055</v>
      </c>
      <c r="L966" s="15" t="s">
        <v>2080</v>
      </c>
      <c r="M966" s="16">
        <v>3</v>
      </c>
      <c r="N966" s="15" t="s">
        <v>65</v>
      </c>
    </row>
    <row r="967" spans="10:14">
      <c r="J967" s="15" t="s">
        <v>2081</v>
      </c>
      <c r="K967" s="15" t="s">
        <v>2082</v>
      </c>
      <c r="L967" s="15" t="s">
        <v>2083</v>
      </c>
      <c r="M967" s="16">
        <v>3</v>
      </c>
      <c r="N967" s="15" t="s">
        <v>65</v>
      </c>
    </row>
    <row r="968" spans="10:14">
      <c r="J968" s="15" t="s">
        <v>2084</v>
      </c>
      <c r="K968" s="15" t="s">
        <v>2082</v>
      </c>
      <c r="L968" s="15" t="s">
        <v>2085</v>
      </c>
      <c r="M968" s="16">
        <v>3</v>
      </c>
      <c r="N968" s="15" t="s">
        <v>65</v>
      </c>
    </row>
    <row r="969" spans="10:14">
      <c r="J969" s="15" t="s">
        <v>2086</v>
      </c>
      <c r="K969" s="15" t="s">
        <v>2082</v>
      </c>
      <c r="L969" s="15" t="s">
        <v>2087</v>
      </c>
      <c r="M969" s="16">
        <v>3</v>
      </c>
      <c r="N969" s="15" t="s">
        <v>65</v>
      </c>
    </row>
    <row r="970" spans="10:14">
      <c r="J970" s="15" t="s">
        <v>2088</v>
      </c>
      <c r="K970" s="15" t="s">
        <v>2082</v>
      </c>
      <c r="L970" s="15" t="s">
        <v>1424</v>
      </c>
      <c r="M970" s="16">
        <v>2</v>
      </c>
      <c r="N970" s="15" t="s">
        <v>69</v>
      </c>
    </row>
    <row r="971" spans="10:14">
      <c r="J971" s="15" t="s">
        <v>2089</v>
      </c>
      <c r="K971" s="15" t="s">
        <v>2082</v>
      </c>
      <c r="L971" s="15" t="s">
        <v>2090</v>
      </c>
      <c r="M971" s="16">
        <v>3</v>
      </c>
      <c r="N971" s="15" t="s">
        <v>65</v>
      </c>
    </row>
    <row r="972" spans="10:14">
      <c r="J972" s="15" t="s">
        <v>2091</v>
      </c>
      <c r="K972" s="15" t="s">
        <v>2082</v>
      </c>
      <c r="L972" s="15" t="s">
        <v>2092</v>
      </c>
      <c r="M972" s="16">
        <v>4</v>
      </c>
      <c r="N972" s="15" t="s">
        <v>93</v>
      </c>
    </row>
    <row r="973" spans="10:14">
      <c r="J973" s="15" t="s">
        <v>2093</v>
      </c>
      <c r="K973" s="15" t="s">
        <v>2082</v>
      </c>
      <c r="L973" s="15" t="s">
        <v>2094</v>
      </c>
      <c r="M973" s="16">
        <v>2</v>
      </c>
      <c r="N973" s="15" t="s">
        <v>69</v>
      </c>
    </row>
    <row r="974" spans="10:14">
      <c r="J974" s="15" t="s">
        <v>2095</v>
      </c>
      <c r="K974" s="15" t="s">
        <v>2082</v>
      </c>
      <c r="L974" s="15" t="s">
        <v>42</v>
      </c>
      <c r="M974" s="16">
        <v>2</v>
      </c>
      <c r="N974" s="15" t="s">
        <v>69</v>
      </c>
    </row>
  </sheetData>
  <mergeCells count="6">
    <mergeCell ref="A21:H23"/>
    <mergeCell ref="A1:H1"/>
    <mergeCell ref="A2:H2"/>
    <mergeCell ref="A4:H4"/>
    <mergeCell ref="A14:H14"/>
    <mergeCell ref="A20:H20"/>
  </mergeCells>
  <conditionalFormatting sqref="M2:M974">
    <cfRule type="cellIs" dxfId="0" priority="1" operator="between">
      <formula>4</formula>
      <formula>6</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election activeCell="B7" sqref="B7"/>
    </sheetView>
  </sheetViews>
  <sheetFormatPr defaultRowHeight="14.25"/>
  <cols>
    <col min="1" max="1" width="30" customWidth="1"/>
    <col min="2" max="2" width="55" customWidth="1"/>
    <col min="3" max="6" width="18" customWidth="1"/>
  </cols>
  <sheetData>
    <row r="1" spans="1:6" ht="24" customHeight="1">
      <c r="A1" s="40" t="s">
        <v>2109</v>
      </c>
      <c r="B1" s="40"/>
      <c r="C1" s="40"/>
      <c r="D1" s="40"/>
      <c r="E1" s="40"/>
      <c r="F1" s="40"/>
    </row>
    <row r="2" spans="1:6" ht="36" customHeight="1">
      <c r="A2" s="41" t="s">
        <v>2110</v>
      </c>
      <c r="B2" s="41" t="s">
        <v>2111</v>
      </c>
      <c r="C2" s="41" t="s">
        <v>2112</v>
      </c>
      <c r="D2" s="41" t="s">
        <v>2113</v>
      </c>
      <c r="E2" s="41" t="s">
        <v>2114</v>
      </c>
      <c r="F2" s="41" t="s">
        <v>56</v>
      </c>
    </row>
    <row r="3" spans="1:6" ht="36" customHeight="1">
      <c r="A3" s="42" t="s">
        <v>2115</v>
      </c>
      <c r="B3" s="42" t="s">
        <v>2116</v>
      </c>
      <c r="C3" s="46">
        <f>'Başvuru Formu'!L9</f>
        <v>0.42142857142857143</v>
      </c>
      <c r="D3" s="43">
        <f>'Başvuru Formu'!O9</f>
        <v>4</v>
      </c>
      <c r="E3" s="43">
        <v>7.5</v>
      </c>
      <c r="F3" s="42" t="s">
        <v>2117</v>
      </c>
    </row>
    <row r="4" spans="1:6" ht="36" customHeight="1">
      <c r="A4" s="42" t="s">
        <v>2118</v>
      </c>
      <c r="B4" s="42" t="s">
        <v>2119</v>
      </c>
      <c r="C4" s="46">
        <f>'Başvuru Formu'!F9</f>
        <v>2.9812500000000002</v>
      </c>
      <c r="D4" s="43">
        <f>'Başvuru Formu'!H9</f>
        <v>4</v>
      </c>
      <c r="E4" s="43">
        <v>12.5</v>
      </c>
      <c r="F4" s="42" t="s">
        <v>2120</v>
      </c>
    </row>
    <row r="5" spans="1:6" ht="36" customHeight="1">
      <c r="A5" s="42" t="s">
        <v>2121</v>
      </c>
      <c r="B5" s="42" t="s">
        <v>2122</v>
      </c>
      <c r="C5" s="46"/>
      <c r="D5" s="43">
        <f>D3+D4</f>
        <v>8</v>
      </c>
      <c r="E5" s="43">
        <f>E3+E4</f>
        <v>20</v>
      </c>
      <c r="F5" s="42" t="s">
        <v>2123</v>
      </c>
    </row>
    <row r="6" spans="1:6" ht="36" customHeight="1">
      <c r="A6" s="44" t="s">
        <v>2124</v>
      </c>
      <c r="B6" s="44" t="s">
        <v>2125</v>
      </c>
      <c r="C6" s="47">
        <f>'Başvuru Formu'!F10</f>
        <v>0</v>
      </c>
      <c r="D6" s="45">
        <f>0</f>
        <v>0</v>
      </c>
      <c r="E6" s="45">
        <v>0</v>
      </c>
      <c r="F6" s="44" t="s">
        <v>2126</v>
      </c>
    </row>
    <row r="7" spans="1:6" ht="36" customHeight="1">
      <c r="A7" s="42" t="s">
        <v>160</v>
      </c>
      <c r="B7" s="42" t="s">
        <v>2127</v>
      </c>
      <c r="C7" s="42"/>
      <c r="D7" s="42"/>
      <c r="E7" s="42"/>
      <c r="F7" s="42"/>
    </row>
    <row r="8" spans="1:6" ht="36" customHeight="1">
      <c r="B8" s="33"/>
      <c r="C8" s="33"/>
      <c r="D8" s="33"/>
      <c r="E8" s="33"/>
      <c r="F8"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Başvuru Formu</vt:lpstr>
      <vt:lpstr>Tarımsal Ürün Girdi Özeti</vt:lpstr>
      <vt:lpstr>Doldurma Rehberi</vt:lpstr>
      <vt:lpstr>Puanlama - Alt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Hakan Özen</cp:lastModifiedBy>
  <dcterms:modified xsi:type="dcterms:W3CDTF">2026-10-06T11:14:43Z</dcterms:modified>
</cp:coreProperties>
</file>