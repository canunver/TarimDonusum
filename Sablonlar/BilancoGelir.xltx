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canun\OneDrive\Belgeler\Kurumlar\TKDK DB Dönüşüm\renbavurugeribildirim\"/>
    </mc:Choice>
  </mc:AlternateContent>
  <bookViews>
    <workbookView xWindow="0" yWindow="0" windowWidth="25600" windowHeight="11280"/>
  </bookViews>
  <sheets>
    <sheet name="Sayfa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5" i="1" l="1"/>
  <c r="D35" i="1"/>
  <c r="C36" i="1"/>
  <c r="D36" i="1"/>
  <c r="C37" i="1"/>
  <c r="D37" i="1"/>
  <c r="C38" i="1"/>
  <c r="D38" i="1"/>
  <c r="C39" i="1"/>
  <c r="D39" i="1"/>
  <c r="C40" i="1"/>
  <c r="D40" i="1"/>
  <c r="C41" i="1"/>
  <c r="D41" i="1"/>
  <c r="C42" i="1"/>
  <c r="D42" i="1"/>
  <c r="C43" i="1"/>
  <c r="D43" i="1"/>
  <c r="B43" i="1"/>
  <c r="B42" i="1"/>
  <c r="B41" i="1"/>
  <c r="B40" i="1"/>
  <c r="B39" i="1"/>
  <c r="B38" i="1"/>
  <c r="B37" i="1"/>
  <c r="B36" i="1"/>
  <c r="B35" i="1"/>
  <c r="D19" i="1"/>
  <c r="D21" i="1" s="1"/>
  <c r="D23" i="1" s="1"/>
  <c r="D27" i="1" s="1"/>
  <c r="D30" i="1" s="1"/>
  <c r="D32" i="1" s="1"/>
  <c r="C19" i="1"/>
  <c r="C21" i="1" s="1"/>
  <c r="C23" i="1" s="1"/>
  <c r="C27" i="1" s="1"/>
  <c r="C30" i="1" s="1"/>
  <c r="C32" i="1" s="1"/>
  <c r="B19" i="1"/>
  <c r="B21" i="1" s="1"/>
  <c r="B23" i="1" s="1"/>
  <c r="B27" i="1" s="1"/>
  <c r="B30" i="1" s="1"/>
  <c r="B32" i="1" s="1"/>
  <c r="D14" i="1"/>
  <c r="C14" i="1"/>
  <c r="B14" i="1"/>
  <c r="D9" i="1"/>
  <c r="C9" i="1"/>
  <c r="B9" i="1"/>
</calcChain>
</file>

<file path=xl/sharedStrings.xml><?xml version="1.0" encoding="utf-8"?>
<sst xmlns="http://schemas.openxmlformats.org/spreadsheetml/2006/main" count="43" uniqueCount="41">
  <si>
    <t>AKTİF (VARLIKLAR)</t>
  </si>
  <si>
    <t>DÖNEMLER</t>
  </si>
  <si>
    <t>31.12.202..</t>
  </si>
  <si>
    <t>DÖNEN VARLIKLAR</t>
  </si>
  <si>
    <t>Ticari Alacaklar</t>
  </si>
  <si>
    <t>Stoklar</t>
  </si>
  <si>
    <t>DURAN VARLIKLAR</t>
  </si>
  <si>
    <t>AKTİF TOPLAMI</t>
  </si>
  <si>
    <t>PASİF (KAYNAKLAR)</t>
  </si>
  <si>
    <t>KISA VADELİ YABANCI KAYNAKLAR</t>
  </si>
  <si>
    <t>UZUN VADELİ YABANCI KAYNAKLAR</t>
  </si>
  <si>
    <t>ÖZ KAYNAKLAR</t>
  </si>
  <si>
    <t>PASİF TOPLAMI</t>
  </si>
  <si>
    <t>GELİR TABLOSU</t>
  </si>
  <si>
    <t>BRÜT SATIŞLAR</t>
  </si>
  <si>
    <t>SATIŞ İNDİRİMLERİ (-)</t>
  </si>
  <si>
    <t>NET SATIŞLAR</t>
  </si>
  <si>
    <t>SATIŞLARIN MALİYETİ (-)</t>
  </si>
  <si>
    <t>BRÜT SATIŞ KARI / ZARARI</t>
  </si>
  <si>
    <t>FAALİYET GİDERLERİ (-)</t>
  </si>
  <si>
    <t>FAALİYET KARI / ZARARI</t>
  </si>
  <si>
    <t>DİĞER FAALİYETLERDEN OLAĞAN GELİR VE KARLAR</t>
  </si>
  <si>
    <t xml:space="preserve">DİĞER FAALİYETLERDEN OLAĞAN GİDER VE ZARARLAR (-) </t>
  </si>
  <si>
    <t>FİNANSMAN GİDERLERİ (-)</t>
  </si>
  <si>
    <t>OLAĞAN KAR / ZARAR</t>
  </si>
  <si>
    <t>OLAĞANDIŞI GELİR VE KARLAR</t>
  </si>
  <si>
    <t>OLAĞANDIŞI GİDER VE ZARARLAR (-)</t>
  </si>
  <si>
    <t>DÖNEM KARI (ZARARI)</t>
  </si>
  <si>
    <t>DÖNEM KARI VERGİ VE DİĞER YASAL YÜKÜMLÜLÜK KARŞILIKLARI (-)</t>
  </si>
  <si>
    <t>NET KAR (ZARAR)</t>
  </si>
  <si>
    <t>DÖNEM AMORTİSMAN TUTARI</t>
  </si>
  <si>
    <t>Net İşletme Sermayesi</t>
  </si>
  <si>
    <t>Cari Oran</t>
  </si>
  <si>
    <t>Likidite Oranı</t>
  </si>
  <si>
    <t>Finansman Oranı</t>
  </si>
  <si>
    <t>Faaliyet Kârlılığı</t>
  </si>
  <si>
    <t>Bilanço Kârlılığı</t>
  </si>
  <si>
    <t>Özsermaye Kârlılığı</t>
  </si>
  <si>
    <t>Aktif Kârlılığı</t>
  </si>
  <si>
    <t>FAVÖK (EBITDA)</t>
  </si>
  <si>
    <t>BİLANÇO ve GELİR TABLOSU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</si>
</sst>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11"/>
      <color theme="1"/>
      <name val="Garamond"/>
      <family val="1"/>
      <charset val="162"/>
    </font>
    <font>
      <sz val="10"/>
      <color theme="1"/>
      <name val="Garamond"/>
      <family val="1"/>
      <charset val="162"/>
    </font>
    <font>
      <sz val="11"/>
      <name val="Garamond"/>
      <family val="1"/>
      <charset val="162"/>
    </font>
    <font>
      <sz val="11"/>
      <color rgb="FFC00000"/>
      <name val="Garamond"/>
      <family val="1"/>
      <charset val="162"/>
    </font>
    <font>
      <sz val="9"/>
      <color theme="1"/>
      <name val="Garamond"/>
      <family val="1"/>
      <charset val="162"/>
    </font>
    <font>
      <sz val="9"/>
      <color rgb="FFC00000"/>
      <name val="Garamond"/>
      <family val="1"/>
      <charset val="162"/>
    </font>
    <font>
      <sz val="10"/>
      <color rgb="FFC00000"/>
      <name val="Garamond"/>
      <family val="1"/>
      <charset val="162"/>
    </font>
    <font>
      <sz val="12"/>
      <color theme="1"/>
      <name val="Garamond"/>
      <family val="1"/>
      <charset val="162"/>
    </font>
  </fonts>
  <fills count="7">
    <fill>
      <patternFill patternType="none"/>
    </fill>
    <fill>
      <patternFill patternType="gray125"/>
    </fill>
    <fill>
      <patternFill patternType="solid">
        <fgColor theme="9" tint="0.3999450666829432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AE0F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4" fontId="2" fillId="3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3" fillId="0" borderId="1" xfId="0" applyFont="1" applyFill="1" applyBorder="1" applyAlignment="1">
      <alignment vertical="center" wrapText="1"/>
    </xf>
    <xf numFmtId="0" fontId="0" fillId="0" borderId="1" xfId="0" applyBorder="1"/>
    <xf numFmtId="0" fontId="5" fillId="0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 wrapText="1"/>
    </xf>
    <xf numFmtId="0" fontId="7" fillId="0" borderId="1" xfId="0" applyFont="1" applyFill="1" applyBorder="1" applyAlignment="1">
      <alignment vertical="center" wrapText="1"/>
    </xf>
    <xf numFmtId="0" fontId="8" fillId="0" borderId="1" xfId="0" applyFont="1" applyFill="1" applyBorder="1" applyAlignment="1">
      <alignment vertical="center" wrapText="1"/>
    </xf>
    <xf numFmtId="0" fontId="9" fillId="5" borderId="1" xfId="0" applyFont="1" applyFill="1" applyBorder="1" applyAlignment="1">
      <alignment horizontal="center"/>
    </xf>
    <xf numFmtId="0" fontId="0" fillId="0" borderId="0" xfId="0" applyAlignment="1">
      <alignment horizontal="right"/>
    </xf>
    <xf numFmtId="4" fontId="2" fillId="3" borderId="1" xfId="0" applyNumberFormat="1" applyFont="1" applyFill="1" applyBorder="1" applyAlignment="1">
      <alignment horizontal="right" vertical="center"/>
    </xf>
    <xf numFmtId="4" fontId="2" fillId="4" borderId="1" xfId="0" applyNumberFormat="1" applyFont="1" applyFill="1" applyBorder="1" applyAlignment="1">
      <alignment horizontal="right" vertical="center"/>
    </xf>
    <xf numFmtId="0" fontId="0" fillId="0" borderId="1" xfId="0" applyBorder="1" applyAlignment="1">
      <alignment horizontal="right"/>
    </xf>
    <xf numFmtId="4" fontId="4" fillId="3" borderId="1" xfId="0" applyNumberFormat="1" applyFont="1" applyFill="1" applyBorder="1" applyAlignment="1">
      <alignment horizontal="right" vertical="center"/>
    </xf>
    <xf numFmtId="4" fontId="5" fillId="3" borderId="1" xfId="0" applyNumberFormat="1" applyFont="1" applyFill="1" applyBorder="1" applyAlignment="1">
      <alignment horizontal="right" vertical="center"/>
    </xf>
    <xf numFmtId="4" fontId="9" fillId="6" borderId="1" xfId="0" applyNumberFormat="1" applyFont="1" applyFill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D43"/>
  <sheetViews>
    <sheetView tabSelected="1" workbookViewId="0"/>
  </sheetViews>
  <sheetFormatPr defaultRowHeight="14.5" x14ac:dyDescent="0.35"/>
  <cols>
    <col min="1" max="1" width="57.6328125" customWidth="1"/>
    <col min="2" max="2" width="17.1796875" style="13" customWidth="1"/>
    <col min="3" max="4" width="17.26953125" style="13" customWidth="1"/>
    <col min="5" max="5" width="5.7265625" customWidth="1"/>
  </cols>
  <sheetData>
    <row r="2" spans="1:4" ht="18" customHeight="1" x14ac:dyDescent="0.35">
      <c r="A2" s="1" t="s">
        <v>40</v>
      </c>
      <c r="B2" s="2" t="s">
        <v>1</v>
      </c>
      <c r="C2" s="2"/>
      <c r="D2" s="2"/>
    </row>
    <row r="3" spans="1:4" ht="18" customHeight="1" x14ac:dyDescent="0.35">
      <c r="A3" s="1"/>
      <c r="B3" s="3" t="s">
        <v>2</v>
      </c>
      <c r="C3" s="3" t="s">
        <v>2</v>
      </c>
      <c r="D3" s="3" t="s">
        <v>2</v>
      </c>
    </row>
    <row r="4" spans="1:4" ht="18" customHeight="1" x14ac:dyDescent="0.35">
      <c r="A4" s="2" t="s">
        <v>0</v>
      </c>
      <c r="B4" s="2"/>
      <c r="C4" s="2"/>
      <c r="D4" s="2"/>
    </row>
    <row r="5" spans="1:4" ht="18" customHeight="1" x14ac:dyDescent="0.35">
      <c r="A5" s="4" t="s">
        <v>3</v>
      </c>
      <c r="B5" s="14"/>
      <c r="C5" s="14"/>
      <c r="D5" s="14"/>
    </row>
    <row r="6" spans="1:4" ht="18" customHeight="1" x14ac:dyDescent="0.35">
      <c r="A6" s="4" t="s">
        <v>4</v>
      </c>
      <c r="B6" s="14"/>
      <c r="C6" s="14"/>
      <c r="D6" s="14"/>
    </row>
    <row r="7" spans="1:4" ht="18" customHeight="1" x14ac:dyDescent="0.35">
      <c r="A7" s="4" t="s">
        <v>5</v>
      </c>
      <c r="B7" s="14"/>
      <c r="C7" s="14"/>
      <c r="D7" s="14"/>
    </row>
    <row r="8" spans="1:4" ht="18" customHeight="1" x14ac:dyDescent="0.35">
      <c r="A8" s="4" t="s">
        <v>6</v>
      </c>
      <c r="B8" s="14"/>
      <c r="C8" s="14"/>
      <c r="D8" s="14"/>
    </row>
    <row r="9" spans="1:4" ht="18" customHeight="1" x14ac:dyDescent="0.35">
      <c r="A9" s="5" t="s">
        <v>7</v>
      </c>
      <c r="B9" s="15">
        <f>B5+B8</f>
        <v>0</v>
      </c>
      <c r="C9" s="15">
        <f>C5+C8</f>
        <v>0</v>
      </c>
      <c r="D9" s="15">
        <f>D5+D8</f>
        <v>0</v>
      </c>
    </row>
    <row r="10" spans="1:4" ht="18" customHeight="1" x14ac:dyDescent="0.35">
      <c r="A10" s="2" t="s">
        <v>8</v>
      </c>
      <c r="B10" s="2"/>
      <c r="C10" s="2"/>
      <c r="D10" s="2"/>
    </row>
    <row r="11" spans="1:4" ht="18" customHeight="1" x14ac:dyDescent="0.35">
      <c r="A11" s="6" t="s">
        <v>9</v>
      </c>
      <c r="B11" s="14"/>
      <c r="C11" s="14"/>
      <c r="D11" s="14"/>
    </row>
    <row r="12" spans="1:4" ht="18" customHeight="1" x14ac:dyDescent="0.35">
      <c r="A12" s="6" t="s">
        <v>10</v>
      </c>
      <c r="B12" s="14"/>
      <c r="C12" s="14"/>
      <c r="D12" s="14"/>
    </row>
    <row r="13" spans="1:4" ht="18" customHeight="1" x14ac:dyDescent="0.35">
      <c r="A13" s="4" t="s">
        <v>11</v>
      </c>
      <c r="B13" s="14"/>
      <c r="C13" s="14"/>
      <c r="D13" s="14"/>
    </row>
    <row r="14" spans="1:4" ht="18" customHeight="1" x14ac:dyDescent="0.35">
      <c r="A14" s="5" t="s">
        <v>12</v>
      </c>
      <c r="B14" s="15">
        <f>B11+B12+B13</f>
        <v>0</v>
      </c>
      <c r="C14" s="15">
        <f>C11+C12+C13</f>
        <v>0</v>
      </c>
      <c r="D14" s="15">
        <f>D11+D12+D13</f>
        <v>0</v>
      </c>
    </row>
    <row r="15" spans="1:4" ht="18" customHeight="1" x14ac:dyDescent="0.35">
      <c r="A15" s="7"/>
      <c r="B15" s="16"/>
      <c r="C15" s="16"/>
      <c r="D15" s="16"/>
    </row>
    <row r="16" spans="1:4" ht="18" customHeight="1" x14ac:dyDescent="0.35">
      <c r="A16" s="2" t="s">
        <v>13</v>
      </c>
      <c r="B16" s="2"/>
      <c r="C16" s="2"/>
      <c r="D16" s="2"/>
    </row>
    <row r="17" spans="1:4" ht="18" customHeight="1" x14ac:dyDescent="0.35">
      <c r="A17" s="4" t="s">
        <v>14</v>
      </c>
      <c r="B17" s="17"/>
      <c r="C17" s="17"/>
      <c r="D17" s="17"/>
    </row>
    <row r="18" spans="1:4" ht="18" customHeight="1" x14ac:dyDescent="0.35">
      <c r="A18" s="8" t="s">
        <v>15</v>
      </c>
      <c r="B18" s="18"/>
      <c r="C18" s="18"/>
      <c r="D18" s="18"/>
    </row>
    <row r="19" spans="1:4" ht="18" customHeight="1" x14ac:dyDescent="0.35">
      <c r="A19" s="5" t="s">
        <v>16</v>
      </c>
      <c r="B19" s="15">
        <f>B17-B18</f>
        <v>0</v>
      </c>
      <c r="C19" s="15">
        <f>C17-C18</f>
        <v>0</v>
      </c>
      <c r="D19" s="15">
        <f>D17-D18</f>
        <v>0</v>
      </c>
    </row>
    <row r="20" spans="1:4" ht="18" customHeight="1" x14ac:dyDescent="0.35">
      <c r="A20" s="8" t="s">
        <v>17</v>
      </c>
      <c r="B20" s="18"/>
      <c r="C20" s="18"/>
      <c r="D20" s="18"/>
    </row>
    <row r="21" spans="1:4" ht="18" customHeight="1" x14ac:dyDescent="0.35">
      <c r="A21" s="5" t="s">
        <v>18</v>
      </c>
      <c r="B21" s="15">
        <f>B19-B20</f>
        <v>0</v>
      </c>
      <c r="C21" s="15">
        <f>C19-C20</f>
        <v>0</v>
      </c>
      <c r="D21" s="15">
        <f>D19-D20</f>
        <v>0</v>
      </c>
    </row>
    <row r="22" spans="1:4" ht="18" customHeight="1" x14ac:dyDescent="0.35">
      <c r="A22" s="8" t="s">
        <v>19</v>
      </c>
      <c r="B22" s="18"/>
      <c r="C22" s="18"/>
      <c r="D22" s="18"/>
    </row>
    <row r="23" spans="1:4" ht="18" customHeight="1" x14ac:dyDescent="0.35">
      <c r="A23" s="5" t="s">
        <v>20</v>
      </c>
      <c r="B23" s="15">
        <f>B21-B22</f>
        <v>0</v>
      </c>
      <c r="C23" s="15">
        <f>C21-C22</f>
        <v>0</v>
      </c>
      <c r="D23" s="15">
        <f>D21-D22</f>
        <v>0</v>
      </c>
    </row>
    <row r="24" spans="1:4" ht="18" customHeight="1" x14ac:dyDescent="0.35">
      <c r="A24" s="9" t="s">
        <v>21</v>
      </c>
      <c r="B24" s="17"/>
      <c r="C24" s="17"/>
      <c r="D24" s="17"/>
    </row>
    <row r="25" spans="1:4" ht="18" customHeight="1" x14ac:dyDescent="0.35">
      <c r="A25" s="10" t="s">
        <v>22</v>
      </c>
      <c r="B25" s="18"/>
      <c r="C25" s="18"/>
      <c r="D25" s="18"/>
    </row>
    <row r="26" spans="1:4" ht="18" customHeight="1" x14ac:dyDescent="0.35">
      <c r="A26" s="8" t="s">
        <v>23</v>
      </c>
      <c r="B26" s="18"/>
      <c r="C26" s="18"/>
      <c r="D26" s="18"/>
    </row>
    <row r="27" spans="1:4" ht="18" customHeight="1" x14ac:dyDescent="0.35">
      <c r="A27" s="5" t="s">
        <v>24</v>
      </c>
      <c r="B27" s="15">
        <f>B23+B24-B25-B26</f>
        <v>0</v>
      </c>
      <c r="C27" s="15">
        <f>C23+C24-C25-C26</f>
        <v>0</v>
      </c>
      <c r="D27" s="15">
        <f>D23+D24-D25-D26</f>
        <v>0</v>
      </c>
    </row>
    <row r="28" spans="1:4" ht="18" customHeight="1" x14ac:dyDescent="0.35">
      <c r="A28" s="4" t="s">
        <v>25</v>
      </c>
      <c r="B28" s="17"/>
      <c r="C28" s="17"/>
      <c r="D28" s="17"/>
    </row>
    <row r="29" spans="1:4" ht="18" customHeight="1" x14ac:dyDescent="0.35">
      <c r="A29" s="11" t="s">
        <v>26</v>
      </c>
      <c r="B29" s="18"/>
      <c r="C29" s="18"/>
      <c r="D29" s="18"/>
    </row>
    <row r="30" spans="1:4" ht="18" customHeight="1" x14ac:dyDescent="0.35">
      <c r="A30" s="5" t="s">
        <v>27</v>
      </c>
      <c r="B30" s="15">
        <f>B27+B28-B29</f>
        <v>0</v>
      </c>
      <c r="C30" s="15">
        <f>C27+C28-C29</f>
        <v>0</v>
      </c>
      <c r="D30" s="15">
        <f>D27+D28-D29</f>
        <v>0</v>
      </c>
    </row>
    <row r="31" spans="1:4" ht="18" customHeight="1" x14ac:dyDescent="0.35">
      <c r="A31" s="10" t="s">
        <v>28</v>
      </c>
      <c r="B31" s="18"/>
      <c r="C31" s="18"/>
      <c r="D31" s="18"/>
    </row>
    <row r="32" spans="1:4" ht="18" customHeight="1" x14ac:dyDescent="0.35">
      <c r="A32" s="5" t="s">
        <v>29</v>
      </c>
      <c r="B32" s="15">
        <f>B30-B31</f>
        <v>0</v>
      </c>
      <c r="C32" s="15">
        <f>C30-C31</f>
        <v>0</v>
      </c>
      <c r="D32" s="15">
        <f>D30-D31</f>
        <v>0</v>
      </c>
    </row>
    <row r="33" spans="1:4" ht="18" customHeight="1" x14ac:dyDescent="0.35">
      <c r="A33" s="10" t="s">
        <v>30</v>
      </c>
      <c r="B33" s="18"/>
      <c r="C33" s="18"/>
      <c r="D33" s="18"/>
    </row>
    <row r="34" spans="1:4" ht="18" customHeight="1" x14ac:dyDescent="0.35">
      <c r="A34" s="7"/>
      <c r="B34" s="16"/>
      <c r="C34" s="16"/>
      <c r="D34" s="16"/>
    </row>
    <row r="35" spans="1:4" ht="18" customHeight="1" x14ac:dyDescent="0.35">
      <c r="A35" s="12" t="s">
        <v>31</v>
      </c>
      <c r="B35" s="19">
        <f>B5-B11</f>
        <v>0</v>
      </c>
      <c r="C35" s="19">
        <f t="shared" ref="C35:D35" si="0">C5-C11</f>
        <v>0</v>
      </c>
      <c r="D35" s="19">
        <f t="shared" si="0"/>
        <v>0</v>
      </c>
    </row>
    <row r="36" spans="1:4" ht="18" customHeight="1" x14ac:dyDescent="0.35">
      <c r="A36" s="12" t="s">
        <v>32</v>
      </c>
      <c r="B36" s="19" t="e">
        <f>B5/B11</f>
        <v>#DIV/0!</v>
      </c>
      <c r="C36" s="19" t="e">
        <f t="shared" ref="C36:D36" si="1">C5/C11</f>
        <v>#DIV/0!</v>
      </c>
      <c r="D36" s="19" t="e">
        <f t="shared" si="1"/>
        <v>#DIV/0!</v>
      </c>
    </row>
    <row r="37" spans="1:4" ht="18" customHeight="1" x14ac:dyDescent="0.35">
      <c r="A37" s="12" t="s">
        <v>33</v>
      </c>
      <c r="B37" s="19" t="e">
        <f>(B5-B7)/B11</f>
        <v>#DIV/0!</v>
      </c>
      <c r="C37" s="19" t="e">
        <f t="shared" ref="C37:D37" si="2">(C5-C7)/C11</f>
        <v>#DIV/0!</v>
      </c>
      <c r="D37" s="19" t="e">
        <f t="shared" si="2"/>
        <v>#DIV/0!</v>
      </c>
    </row>
    <row r="38" spans="1:4" ht="18" customHeight="1" x14ac:dyDescent="0.35">
      <c r="A38" s="12" t="s">
        <v>34</v>
      </c>
      <c r="B38" s="19" t="e">
        <f>((B11+B12)/B13)*100</f>
        <v>#DIV/0!</v>
      </c>
      <c r="C38" s="19" t="e">
        <f t="shared" ref="C38:D38" si="3">((C11+C12)/C13)*100</f>
        <v>#DIV/0!</v>
      </c>
      <c r="D38" s="19" t="e">
        <f t="shared" si="3"/>
        <v>#DIV/0!</v>
      </c>
    </row>
    <row r="39" spans="1:4" ht="18" customHeight="1" x14ac:dyDescent="0.35">
      <c r="A39" s="12" t="s">
        <v>35</v>
      </c>
      <c r="B39" s="19" t="e">
        <f>B23/B19*100</f>
        <v>#DIV/0!</v>
      </c>
      <c r="C39" s="19" t="e">
        <f t="shared" ref="C39:D39" si="4">C23/C19*100</f>
        <v>#DIV/0!</v>
      </c>
      <c r="D39" s="19" t="e">
        <f t="shared" si="4"/>
        <v>#DIV/0!</v>
      </c>
    </row>
    <row r="40" spans="1:4" ht="18" customHeight="1" x14ac:dyDescent="0.35">
      <c r="A40" s="12" t="s">
        <v>36</v>
      </c>
      <c r="B40" s="19" t="e">
        <f>B30/B11*100</f>
        <v>#DIV/0!</v>
      </c>
      <c r="C40" s="19" t="e">
        <f t="shared" ref="C40:D40" si="5">C30/C11*100</f>
        <v>#DIV/0!</v>
      </c>
      <c r="D40" s="19" t="e">
        <f t="shared" si="5"/>
        <v>#DIV/0!</v>
      </c>
    </row>
    <row r="41" spans="1:4" ht="18" customHeight="1" x14ac:dyDescent="0.35">
      <c r="A41" s="12" t="s">
        <v>37</v>
      </c>
      <c r="B41" s="19" t="e">
        <f>B32/B13*100</f>
        <v>#DIV/0!</v>
      </c>
      <c r="C41" s="19" t="e">
        <f t="shared" ref="C41:D41" si="6">C32/C13*100</f>
        <v>#DIV/0!</v>
      </c>
      <c r="D41" s="19" t="e">
        <f t="shared" si="6"/>
        <v>#DIV/0!</v>
      </c>
    </row>
    <row r="42" spans="1:4" ht="18" customHeight="1" x14ac:dyDescent="0.35">
      <c r="A42" s="12" t="s">
        <v>38</v>
      </c>
      <c r="B42" s="19" t="e">
        <f>B32/B9*100</f>
        <v>#DIV/0!</v>
      </c>
      <c r="C42" s="19" t="e">
        <f t="shared" ref="C42:D42" si="7">C32/C9*100</f>
        <v>#DIV/0!</v>
      </c>
      <c r="D42" s="19" t="e">
        <f t="shared" si="7"/>
        <v>#DIV/0!</v>
      </c>
    </row>
    <row r="43" spans="1:4" ht="18" customHeight="1" x14ac:dyDescent="0.35">
      <c r="A43" s="12" t="s">
        <v>39</v>
      </c>
      <c r="B43" s="19">
        <f>B21-B22+B33</f>
        <v>0</v>
      </c>
      <c r="C43" s="19">
        <f t="shared" ref="C43:D43" si="8">C21-C22+C33</f>
        <v>0</v>
      </c>
      <c r="D43" s="19">
        <f t="shared" si="8"/>
        <v>0</v>
      </c>
    </row>
  </sheetData>
  <mergeCells count="5">
    <mergeCell ref="B2:D2"/>
    <mergeCell ref="A4:D4"/>
    <mergeCell ref="A10:D10"/>
    <mergeCell ref="A16:D16"/>
    <mergeCell ref="A2:A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Sayfa1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 Ünver</dc:creator>
  <cp:lastModifiedBy>Can Ünver</cp:lastModifiedBy>
  <dcterms:created xsi:type="dcterms:W3CDTF">2026-08-31T17:46:20Z</dcterms:created>
  <dcterms:modified xsi:type="dcterms:W3CDTF">2026-08-31T18:20:09Z</dcterms:modified>
</cp:coreProperties>
</file>