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00" windowHeight="11280"/>
  </bookViews>
  <sheets>
    <sheet name="Sayf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1" l="1"/>
  <c r="J28" i="1" s="1"/>
  <c r="D11" i="1"/>
  <c r="D16" i="1"/>
  <c r="D17" i="1" s="1"/>
  <c r="I28" i="1" l="1"/>
</calcChain>
</file>

<file path=xl/sharedStrings.xml><?xml version="1.0" encoding="utf-8"?>
<sst xmlns="http://schemas.openxmlformats.org/spreadsheetml/2006/main" count="61" uniqueCount="60">
  <si>
    <t>A. TOPLAM YATIRIM BÜTÇESİ VE FİNANSMAN KAYNAKLARI</t>
  </si>
  <si>
    <t>Kod</t>
  </si>
  <si>
    <t>Bölüm / harcama kalemi</t>
  </si>
  <si>
    <t>Tutar (TL)</t>
  </si>
  <si>
    <t>A</t>
  </si>
  <si>
    <t>Uygun Harcamalar</t>
  </si>
  <si>
    <t>A1</t>
  </si>
  <si>
    <t>Yapım İşleri</t>
  </si>
  <si>
    <t>A2</t>
  </si>
  <si>
    <t>Makine ve Ekipman Alımları</t>
  </si>
  <si>
    <t>A3</t>
  </si>
  <si>
    <t>Genel Harcamalar / Hizmet Alımları</t>
  </si>
  <si>
    <t>A4</t>
  </si>
  <si>
    <t>Görünürlük Harcamaları</t>
  </si>
  <si>
    <t>B</t>
  </si>
  <si>
    <t>Uygun Olmayan Harcamalar</t>
  </si>
  <si>
    <t>C</t>
  </si>
  <si>
    <t>Toplam Yatırım Tutarı (A+B)</t>
  </si>
  <si>
    <t>D</t>
  </si>
  <si>
    <t>Özkaynak</t>
  </si>
  <si>
    <t>E</t>
  </si>
  <si>
    <t>Banka Kredisi</t>
  </si>
  <si>
    <t>F</t>
  </si>
  <si>
    <t>Dünya Bankası Finansmanı</t>
  </si>
  <si>
    <t>G</t>
  </si>
  <si>
    <t>Diğer Kaynaklar</t>
  </si>
  <si>
    <t>H</t>
  </si>
  <si>
    <t>Finansman Kaynakları Toplamı</t>
  </si>
  <si>
    <t>Finansman farkı</t>
  </si>
  <si>
    <t>B. ÜRETİM VE SATIŞ BİLGİLERİ</t>
  </si>
  <si>
    <t>Ürün / ürün grubu</t>
  </si>
  <si>
    <t>Gösterge</t>
  </si>
  <si>
    <t>Birim</t>
  </si>
  <si>
    <t>Mevcut</t>
  </si>
  <si>
    <t>1. Yıl</t>
  </si>
  <si>
    <t>2. Yıl</t>
  </si>
  <si>
    <t>3. Yıl</t>
  </si>
  <si>
    <t>4. Yıl</t>
  </si>
  <si>
    <t>5. Yıl</t>
  </si>
  <si>
    <t>6. Yıl</t>
  </si>
  <si>
    <t>7. Yıl</t>
  </si>
  <si>
    <t>8. Yıl</t>
  </si>
  <si>
    <t>9. Yıl</t>
  </si>
  <si>
    <t>10. Yıl</t>
  </si>
  <si>
    <t>Kurulu Kapasite</t>
  </si>
  <si>
    <t>Üretim Miktarı</t>
  </si>
  <si>
    <t>Satış Miktarı</t>
  </si>
  <si>
    <t>Birim Satış Fiyatı</t>
  </si>
  <si>
    <t>C. TAM KAPASİTEDE YILLIK İŞLETME GİDERLERİ</t>
  </si>
  <si>
    <t>Gider grubu</t>
  </si>
  <si>
    <t>Gider unsuru</t>
  </si>
  <si>
    <t>Miktar</t>
  </si>
  <si>
    <t>Birim fiyat (TL)</t>
  </si>
  <si>
    <t>Toplam tutar (TL)</t>
  </si>
  <si>
    <t>Sabit (%)</t>
  </si>
  <si>
    <t>Değişken (%)</t>
  </si>
  <si>
    <t>Sabit tutar</t>
  </si>
  <si>
    <t>Değişken tutar</t>
  </si>
  <si>
    <t>TOPLAM İŞLETME GİDERLERİ</t>
  </si>
  <si>
    <t>8. YATIRIM ÖZETİ TABLOSU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</si>
</sst>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8" x14ac:knownFonts="1"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sz val="11"/>
      <name val="Calibri"/>
      <family val="2"/>
      <charset val="162"/>
    </font>
    <font>
      <sz val="11"/>
      <color rgb="FF1F2937"/>
      <name val="Calibri"/>
      <family val="2"/>
      <charset val="162"/>
    </font>
    <font>
      <b/>
      <sz val="11"/>
      <color rgb="FF1F2937"/>
      <name val="Calibri"/>
      <family val="2"/>
      <charset val="162"/>
    </font>
    <font>
      <sz val="11"/>
      <color rgb="FF215E21"/>
      <name val="Calibri"/>
      <family val="2"/>
      <charset val="162"/>
    </font>
    <font>
      <b/>
      <sz val="11"/>
      <name val="Calibri"/>
      <family val="2"/>
      <charset val="162"/>
    </font>
    <font>
      <b/>
      <sz val="11"/>
      <color rgb="FF215E21"/>
      <name val="Calibri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  <fill>
      <patternFill patternType="solid">
        <fgColor rgb="FFE2F0D9"/>
      </patternFill>
    </fill>
    <fill>
      <patternFill patternType="solid">
        <fgColor rgb="FFFFF2CC"/>
      </patternFill>
    </fill>
  </fills>
  <borders count="4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  <border>
      <left style="thin">
        <color rgb="FFB8C4CE"/>
      </left>
      <right/>
      <top/>
      <bottom/>
      <diagonal/>
    </border>
    <border>
      <left/>
      <right style="thin">
        <color rgb="FFB8C4CE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2" fillId="0" borderId="0" xfId="0" applyNumberFormat="1" applyFont="1" applyFill="1" applyBorder="1" applyAlignment="1">
      <alignment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vertical="center" wrapText="1"/>
    </xf>
    <xf numFmtId="3" fontId="5" fillId="5" borderId="1" xfId="0" applyNumberFormat="1" applyFont="1" applyFill="1" applyBorder="1" applyAlignment="1">
      <alignment vertical="center" wrapText="1"/>
    </xf>
    <xf numFmtId="3" fontId="3" fillId="3" borderId="1" xfId="0" applyNumberFormat="1" applyFont="1" applyFill="1" applyBorder="1" applyAlignment="1">
      <alignment vertical="center" wrapText="1"/>
    </xf>
    <xf numFmtId="0" fontId="3" fillId="3" borderId="1" xfId="0" applyNumberFormat="1" applyFont="1" applyFill="1" applyBorder="1" applyAlignment="1">
      <alignment vertical="center" wrapText="1"/>
    </xf>
    <xf numFmtId="0" fontId="3" fillId="6" borderId="1" xfId="0" applyNumberFormat="1" applyFont="1" applyFill="1" applyBorder="1" applyAlignment="1">
      <alignment vertical="center" wrapText="1"/>
    </xf>
    <xf numFmtId="4" fontId="3" fillId="3" borderId="1" xfId="0" applyNumberFormat="1" applyFont="1" applyFill="1" applyBorder="1" applyAlignment="1">
      <alignment vertical="center" wrapText="1"/>
    </xf>
    <xf numFmtId="164" fontId="3" fillId="3" borderId="1" xfId="0" applyNumberFormat="1" applyFont="1" applyFill="1" applyBorder="1" applyAlignment="1">
      <alignment vertical="center" wrapText="1"/>
    </xf>
    <xf numFmtId="0" fontId="3" fillId="0" borderId="2" xfId="0" applyNumberFormat="1" applyFont="1" applyFill="1" applyBorder="1" applyAlignment="1">
      <alignment vertical="center" wrapText="1"/>
    </xf>
    <xf numFmtId="0" fontId="3" fillId="0" borderId="3" xfId="0" applyNumberFormat="1" applyFont="1" applyFill="1" applyBorder="1" applyAlignment="1">
      <alignment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1" fillId="4" borderId="0" xfId="0" applyNumberFormat="1" applyFont="1" applyFill="1" applyBorder="1" applyAlignment="1">
      <alignment vertical="center" wrapText="1"/>
    </xf>
    <xf numFmtId="0" fontId="6" fillId="0" borderId="1" xfId="0" applyNumberFormat="1" applyFont="1" applyFill="1" applyBorder="1" applyAlignment="1">
      <alignment vertical="center" wrapText="1"/>
    </xf>
    <xf numFmtId="0" fontId="4" fillId="3" borderId="2" xfId="0" applyNumberFormat="1" applyFont="1" applyFill="1" applyBorder="1" applyAlignment="1">
      <alignment horizontal="center" vertical="center" wrapText="1"/>
    </xf>
    <xf numFmtId="0" fontId="4" fillId="3" borderId="3" xfId="0" applyNumberFormat="1" applyFont="1" applyFill="1" applyBorder="1" applyAlignment="1">
      <alignment horizontal="center" vertical="center" wrapText="1"/>
    </xf>
    <xf numFmtId="4" fontId="5" fillId="5" borderId="1" xfId="0" applyNumberFormat="1" applyFont="1" applyFill="1" applyBorder="1" applyAlignment="1">
      <alignment vertical="center" wrapText="1"/>
    </xf>
    <xf numFmtId="4" fontId="7" fillId="5" borderId="1" xfId="0" applyNumberFormat="1" applyFont="1" applyFill="1" applyBorder="1" applyAlignment="1">
      <alignment vertical="center" wrapText="1"/>
    </xf>
    <xf numFmtId="4" fontId="6" fillId="0" borderId="1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0"/>
  <sheetViews>
    <sheetView tabSelected="1" topLeftCell="A19" workbookViewId="0">
      <selection activeCell="A27" sqref="A27"/>
    </sheetView>
  </sheetViews>
  <sheetFormatPr defaultColWidth="9" defaultRowHeight="14.5" x14ac:dyDescent="0.35"/>
  <cols>
    <col min="1" max="2" width="24" style="1" customWidth="1"/>
    <col min="3" max="3" width="13.453125" style="1" customWidth="1"/>
    <col min="4" max="4" width="19.36328125" style="1" customWidth="1"/>
    <col min="5" max="5" width="14.453125" style="1" customWidth="1"/>
    <col min="6" max="6" width="17.08984375" style="1" customWidth="1"/>
    <col min="7" max="8" width="13" style="1" customWidth="1"/>
    <col min="9" max="10" width="14" style="1" customWidth="1"/>
    <col min="11" max="14" width="12" style="1" customWidth="1"/>
    <col min="15" max="16384" width="9" style="1"/>
  </cols>
  <sheetData>
    <row r="1" spans="1:14" ht="20" customHeight="1" x14ac:dyDescent="0.35">
      <c r="A1" s="13" t="s">
        <v>59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ht="20" customHeigh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20" customHeight="1" x14ac:dyDescent="0.35">
      <c r="A3" s="14" t="s">
        <v>0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1:14" ht="20" customHeight="1" x14ac:dyDescent="0.35">
      <c r="A4" s="3" t="s">
        <v>1</v>
      </c>
      <c r="B4" s="16" t="s">
        <v>2</v>
      </c>
      <c r="C4" s="17"/>
      <c r="D4" s="3" t="s">
        <v>3</v>
      </c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20" customHeight="1" x14ac:dyDescent="0.35">
      <c r="A5" s="4" t="s">
        <v>4</v>
      </c>
      <c r="B5" s="11" t="s">
        <v>5</v>
      </c>
      <c r="C5" s="12"/>
      <c r="D5" s="5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20" customHeight="1" x14ac:dyDescent="0.35">
      <c r="A6" s="4" t="s">
        <v>6</v>
      </c>
      <c r="B6" s="11" t="s">
        <v>7</v>
      </c>
      <c r="C6" s="12"/>
      <c r="D6" s="5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20" customHeight="1" x14ac:dyDescent="0.35">
      <c r="A7" s="4" t="s">
        <v>8</v>
      </c>
      <c r="B7" s="11" t="s">
        <v>9</v>
      </c>
      <c r="C7" s="12"/>
      <c r="D7" s="5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20" customHeight="1" x14ac:dyDescent="0.35">
      <c r="A8" s="4" t="s">
        <v>10</v>
      </c>
      <c r="B8" s="11" t="s">
        <v>11</v>
      </c>
      <c r="C8" s="12"/>
      <c r="D8" s="5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20" customHeight="1" x14ac:dyDescent="0.35">
      <c r="A9" s="4" t="s">
        <v>12</v>
      </c>
      <c r="B9" s="11" t="s">
        <v>13</v>
      </c>
      <c r="C9" s="12"/>
      <c r="D9" s="5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20" customHeight="1" x14ac:dyDescent="0.35">
      <c r="A10" s="4" t="s">
        <v>14</v>
      </c>
      <c r="B10" s="11" t="s">
        <v>15</v>
      </c>
      <c r="C10" s="12"/>
      <c r="D10" s="5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t="20" customHeight="1" x14ac:dyDescent="0.35">
      <c r="A11" s="4" t="s">
        <v>16</v>
      </c>
      <c r="B11" s="11" t="s">
        <v>17</v>
      </c>
      <c r="C11" s="12"/>
      <c r="D11" s="5">
        <f>D5+D10</f>
        <v>0</v>
      </c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20" customHeight="1" x14ac:dyDescent="0.35">
      <c r="A12" s="4" t="s">
        <v>18</v>
      </c>
      <c r="B12" s="11" t="s">
        <v>19</v>
      </c>
      <c r="C12" s="12"/>
      <c r="D12" s="6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ht="20" customHeight="1" x14ac:dyDescent="0.35">
      <c r="A13" s="4" t="s">
        <v>20</v>
      </c>
      <c r="B13" s="11" t="s">
        <v>21</v>
      </c>
      <c r="C13" s="12"/>
      <c r="D13" s="6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ht="20" customHeight="1" x14ac:dyDescent="0.35">
      <c r="A14" s="4" t="s">
        <v>22</v>
      </c>
      <c r="B14" s="11" t="s">
        <v>23</v>
      </c>
      <c r="C14" s="12"/>
      <c r="D14" s="6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ht="20" customHeight="1" x14ac:dyDescent="0.35">
      <c r="A15" s="4" t="s">
        <v>24</v>
      </c>
      <c r="B15" s="11" t="s">
        <v>25</v>
      </c>
      <c r="C15" s="12"/>
      <c r="D15" s="6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ht="20" customHeight="1" x14ac:dyDescent="0.35">
      <c r="A16" s="4" t="s">
        <v>26</v>
      </c>
      <c r="B16" s="11" t="s">
        <v>27</v>
      </c>
      <c r="C16" s="12"/>
      <c r="D16" s="5">
        <f>D12+D13+D14+D15</f>
        <v>0</v>
      </c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t="20" customHeight="1" x14ac:dyDescent="0.35">
      <c r="A17" s="4"/>
      <c r="B17" s="11" t="s">
        <v>28</v>
      </c>
      <c r="C17" s="12"/>
      <c r="D17" s="5">
        <f>D16-D11</f>
        <v>0</v>
      </c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t="20" customHeight="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t="20" customHeight="1" x14ac:dyDescent="0.35">
      <c r="A19" s="14" t="s">
        <v>29</v>
      </c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</row>
    <row r="20" spans="1:14" ht="20" customHeight="1" x14ac:dyDescent="0.35">
      <c r="A20" s="3" t="s">
        <v>30</v>
      </c>
      <c r="B20" s="3" t="s">
        <v>31</v>
      </c>
      <c r="C20" s="3" t="s">
        <v>32</v>
      </c>
      <c r="D20" s="3" t="s">
        <v>33</v>
      </c>
      <c r="E20" s="3" t="s">
        <v>34</v>
      </c>
      <c r="F20" s="3" t="s">
        <v>35</v>
      </c>
      <c r="G20" s="3" t="s">
        <v>36</v>
      </c>
      <c r="H20" s="3" t="s">
        <v>37</v>
      </c>
      <c r="I20" s="3" t="s">
        <v>38</v>
      </c>
      <c r="J20" s="3" t="s">
        <v>39</v>
      </c>
      <c r="K20" s="3" t="s">
        <v>40</v>
      </c>
      <c r="L20" s="3" t="s">
        <v>41</v>
      </c>
      <c r="M20" s="3" t="s">
        <v>42</v>
      </c>
      <c r="N20" s="3" t="s">
        <v>43</v>
      </c>
    </row>
    <row r="21" spans="1:14" ht="20" customHeight="1" x14ac:dyDescent="0.35">
      <c r="A21" s="7"/>
      <c r="B21" s="8" t="s">
        <v>44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ht="20" customHeight="1" x14ac:dyDescent="0.35">
      <c r="A22" s="7"/>
      <c r="B22" s="8" t="s">
        <v>45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ht="20" customHeight="1" x14ac:dyDescent="0.35">
      <c r="A23" s="7"/>
      <c r="B23" s="8" t="s">
        <v>46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4" ht="20" customHeight="1" x14ac:dyDescent="0.35">
      <c r="A24" s="7"/>
      <c r="B24" s="8" t="s">
        <v>47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4" ht="20" customHeight="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t="20" customHeight="1" x14ac:dyDescent="0.35">
      <c r="A26" s="14" t="s">
        <v>48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</row>
    <row r="27" spans="1:14" ht="20" customHeight="1" x14ac:dyDescent="0.35">
      <c r="A27" s="3" t="s">
        <v>49</v>
      </c>
      <c r="B27" s="3" t="s">
        <v>50</v>
      </c>
      <c r="C27" s="3" t="s">
        <v>51</v>
      </c>
      <c r="D27" s="3" t="s">
        <v>32</v>
      </c>
      <c r="E27" s="3" t="s">
        <v>52</v>
      </c>
      <c r="F27" s="3" t="s">
        <v>53</v>
      </c>
      <c r="G27" s="3" t="s">
        <v>54</v>
      </c>
      <c r="H27" s="3" t="s">
        <v>55</v>
      </c>
      <c r="I27" s="3" t="s">
        <v>56</v>
      </c>
      <c r="J27" s="3" t="s">
        <v>57</v>
      </c>
      <c r="K27" s="2"/>
      <c r="L27" s="2"/>
      <c r="M27" s="2"/>
      <c r="N27" s="2"/>
    </row>
    <row r="28" spans="1:14" ht="20" customHeight="1" x14ac:dyDescent="0.35">
      <c r="A28" s="4"/>
      <c r="B28" s="4"/>
      <c r="C28" s="9"/>
      <c r="D28" s="7"/>
      <c r="E28" s="9"/>
      <c r="F28" s="18" t="str">
        <f t="shared" ref="F28" si="0">IF(OR(C28="",E28=""),"",C28*E28)</f>
        <v/>
      </c>
      <c r="G28" s="10"/>
      <c r="H28" s="10"/>
      <c r="I28" s="18" t="str">
        <f t="shared" ref="I28" si="1">IF(F28="","",F28*G28)</f>
        <v/>
      </c>
      <c r="J28" s="18" t="str">
        <f t="shared" ref="J28" si="2">IF(F28="","",F28*H28)</f>
        <v/>
      </c>
      <c r="K28" s="2"/>
      <c r="L28" s="2"/>
      <c r="M28" s="2"/>
      <c r="N28" s="2"/>
    </row>
    <row r="29" spans="1:14" ht="20" customHeight="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t="20" customHeight="1" x14ac:dyDescent="0.35">
      <c r="A30" s="15" t="s">
        <v>58</v>
      </c>
      <c r="B30" s="15"/>
      <c r="C30" s="15"/>
      <c r="D30" s="15"/>
      <c r="E30" s="15"/>
      <c r="F30" s="19">
        <v>0</v>
      </c>
      <c r="G30" s="20"/>
      <c r="H30" s="20"/>
      <c r="I30" s="19">
        <v>0</v>
      </c>
      <c r="J30" s="19">
        <v>0</v>
      </c>
      <c r="K30" s="2"/>
      <c r="L30" s="2"/>
      <c r="M30" s="2"/>
      <c r="N30" s="2"/>
    </row>
  </sheetData>
  <mergeCells count="19">
    <mergeCell ref="A19:N19"/>
    <mergeCell ref="A26:N26"/>
    <mergeCell ref="A30:E30"/>
    <mergeCell ref="B4:C4"/>
    <mergeCell ref="B5:C5"/>
    <mergeCell ref="B6:C6"/>
    <mergeCell ref="B7:C7"/>
    <mergeCell ref="B14:C14"/>
    <mergeCell ref="B15:C15"/>
    <mergeCell ref="B16:C16"/>
    <mergeCell ref="B17:C17"/>
    <mergeCell ref="A1:N1"/>
    <mergeCell ref="B8:C8"/>
    <mergeCell ref="B9:C9"/>
    <mergeCell ref="B10:C10"/>
    <mergeCell ref="B11:C11"/>
    <mergeCell ref="B12:C12"/>
    <mergeCell ref="B13:C13"/>
    <mergeCell ref="A3: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2026-08-29T15:16:51Z</dcterms:created>
  <dcterms:modified xsi:type="dcterms:W3CDTF">2026-08-29T15:54:44Z</dcterms:modified>
</cp:coreProperties>
</file>