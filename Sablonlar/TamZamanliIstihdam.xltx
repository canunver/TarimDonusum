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TarimDonusum\Sablonlar\"/>
    </mc:Choice>
  </mc:AlternateContent>
  <bookViews>
    <workbookView xWindow="0" yWindow="0" windowWidth="25600" windowHeight="11280"/>
  </bookViews>
  <sheets>
    <sheet name="Sayf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1" l="1"/>
  <c r="H14" i="1" l="1"/>
  <c r="J15" i="1"/>
  <c r="J14" i="1"/>
  <c r="L15" i="1"/>
  <c r="L14" i="1"/>
  <c r="N14" i="1"/>
  <c r="D14" i="1"/>
  <c r="D15" i="1" s="1"/>
  <c r="B14" i="1"/>
  <c r="E10" i="1"/>
  <c r="B11" i="1"/>
  <c r="F11" i="1" s="1"/>
  <c r="F15" i="1" s="1"/>
  <c r="H15" i="1" l="1"/>
  <c r="B15" i="1"/>
  <c r="E9" i="1"/>
</calcChain>
</file>

<file path=xl/sharedStrings.xml><?xml version="1.0" encoding="utf-8"?>
<sst xmlns="http://schemas.openxmlformats.org/spreadsheetml/2006/main" count="133" uniqueCount="56">
  <si>
    <t>Birim / Ünite</t>
  </si>
  <si>
    <t>Görev / Üretim Hattı</t>
  </si>
  <si>
    <t>Cinsiyet</t>
  </si>
  <si>
    <t>Yaş Durumu</t>
  </si>
  <si>
    <t>Baz Aylık
Brüt Ücret (TL)</t>
  </si>
  <si>
    <t>Hedef Aylık
Brüt Ücret (TL)</t>
  </si>
  <si>
    <t>Ücret
Değişimi</t>
  </si>
  <si>
    <t>Aylık Emek
Geliri Değişimi (TL)</t>
  </si>
  <si>
    <t>B. SON İKİ TAMAMLANMIŞ YILDA KADIN / ERKEK İSTİHDAMI VE PUANI</t>
  </si>
  <si>
    <t>D. İSTİHDAM VE ÜCRET PLANI — HER SATIRI AYNI GÖREV / CİNSİYET / GENÇLİK GRUBU İÇİN AYRI GİRİNİZ</t>
  </si>
  <si>
    <t>Dönem</t>
  </si>
  <si>
    <t>Yıllık Kontrol</t>
  </si>
  <si>
    <t>Kriterin Uygulanışı / Açıklama</t>
  </si>
  <si>
    <t>Puan hesabında iki yıl birlikte değerlendirilir; yöntem Doldurma Rehberi'nde açıklanmıştır.</t>
  </si>
  <si>
    <t>Kriter Durumu</t>
  </si>
  <si>
    <t>Puan</t>
  </si>
  <si>
    <t>C. OTOMATİK ÖZET, SIRALAMA PUANI VE PAD MBJ GÖSTERGELERİ</t>
  </si>
  <si>
    <t>Yıllık Emek Geliri Değişimi (TL)</t>
  </si>
  <si>
    <t>Asgari Eşik (0,25)</t>
  </si>
  <si>
    <t>İstihdam Puanı (maks. 20)</t>
  </si>
  <si>
    <t>Kadın İstihdam Puanı (maks. 2,5)</t>
  </si>
  <si>
    <t>Bu Formdan Gelen Puan (maks. 22,5)</t>
  </si>
  <si>
    <t>PAD Raporlama Sıklığı</t>
  </si>
  <si>
    <t>Yıllık</t>
  </si>
  <si>
    <t>Kadın TZİ</t>
  </si>
  <si>
    <t>Erkek TZİ</t>
  </si>
  <si>
    <t>Toplam TZİ</t>
  </si>
  <si>
    <t>Yalnızca bilgilendirme: ilgili yılda toplam TZİ &gt; 20 ve kadın TZİ &gt; erkek TZİ ise EVET.</t>
  </si>
  <si>
    <t>Son iki tamamlanmış yılın ortalama toplam TZİ'si 20'den fazla ve iki yılın toplam kadın TZİ'si toplam erkek TZİ'sinden fazlaysa 2,5 puan.</t>
  </si>
  <si>
    <t>Mevcut Toplam TZİ</t>
  </si>
  <si>
    <t>Net Ek TZİ</t>
  </si>
  <si>
    <t>100.000 USD Başına Net Ek TZİ</t>
  </si>
  <si>
    <t>Ek Kadın TZİ</t>
  </si>
  <si>
    <t>Ek Genç TZİ</t>
  </si>
  <si>
    <t>Mevcut
TZİ</t>
  </si>
  <si>
    <t>Net
Ek TZİ</t>
  </si>
  <si>
    <t>Yatırım Sonrası
TZİ</t>
  </si>
  <si>
    <t>C. OTOMATİK ÖZET, SIRALAMA PUANI VE PAD DFDİ GÖSTERGELERİ</t>
  </si>
  <si>
    <t>PAD DFDİ İş Eşdeğeri</t>
  </si>
  <si>
    <t>Genç DFDİ İş Eşdeğeri</t>
  </si>
  <si>
    <t>Kadın DFDİ İş Eşdeğeri</t>
  </si>
  <si>
    <t>PAD DFDİ 
İş Eşdeğeri</t>
  </si>
  <si>
    <t>TAM ZAMANLI İSTİHDAM, KADIN İSTİHDAMI VE PAD MBJ İZLEME FORMU</t>
  </si>
  <si>
    <t>A. BAŞVURU BİLGİLERİ</t>
  </si>
  <si>
    <t>Başvuru Sahibi Tüzel Kişi</t>
  </si>
  <si>
    <t>Vergi / MERSİS No</t>
  </si>
  <si>
    <t>İl</t>
  </si>
  <si>
    <t>İlçe</t>
  </si>
  <si>
    <t>Talep Edilen Kredi Tutarı (USD)</t>
  </si>
  <si>
    <t>E. GEREKÇE, VARSAYIMLAR VE DOĞRULAMA YAKLAŞIMI</t>
  </si>
  <si>
    <t>F. BEYAN VE ONAY</t>
  </si>
  <si>
    <t>Bu formda yer alan mevcut istihdam, planlanan net ek istihdam, cinsiyet/gençlik ayrımı ve ücret bilgilerinin doğru, tutarlı ve doğrulanabilir olduğunu; talep halinde SGK, bordro, banka ödeme kaydı ve benzeri belgeleri sunacağımızı beyan ederiz.</t>
  </si>
  <si>
    <t>Yetkili Adı Soyadı</t>
  </si>
  <si>
    <t>Unvan</t>
  </si>
  <si>
    <t>Tarih</t>
  </si>
  <si>
    <t>Kaşe / İmza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</si>
</sst>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Calibri"/>
      <family val="2"/>
      <charset val="162"/>
      <scheme val="minor"/>
    </font>
    <font>
      <b/>
      <sz val="9"/>
      <color rgb="FFFFFFFF"/>
      <name val="Aptos"/>
    </font>
    <font>
      <sz val="10"/>
      <color rgb="FF1F2937"/>
      <name val="Aptos"/>
    </font>
    <font>
      <b/>
      <sz val="10"/>
      <color rgb="FF1F2937"/>
      <name val="Aptos"/>
    </font>
    <font>
      <b/>
      <sz val="11"/>
      <color rgb="FFFFFFFF"/>
      <name val="Aptos"/>
    </font>
    <font>
      <b/>
      <sz val="10"/>
      <color rgb="FFFFFFFF"/>
      <name val="Aptos"/>
    </font>
    <font>
      <i/>
      <sz val="9"/>
      <color rgb="FF183B56"/>
      <name val="Aptos"/>
    </font>
    <font>
      <b/>
      <sz val="9"/>
      <color rgb="FF1F2937"/>
      <name val="Aptos"/>
    </font>
    <font>
      <b/>
      <sz val="16"/>
      <color rgb="FFFFFFFF"/>
      <name val="Aptos Display"/>
    </font>
  </fonts>
  <fills count="12">
    <fill>
      <patternFill patternType="none"/>
    </fill>
    <fill>
      <patternFill patternType="gray125"/>
    </fill>
    <fill>
      <patternFill patternType="solid">
        <fgColor rgb="FF183B56"/>
        <bgColor rgb="FFFFFFFF"/>
      </patternFill>
    </fill>
    <fill>
      <patternFill patternType="solid">
        <fgColor rgb="FFFFF4CC"/>
        <bgColor rgb="FFFFFFFF"/>
      </patternFill>
    </fill>
    <fill>
      <patternFill patternType="solid">
        <fgColor rgb="FFE8F5E9"/>
        <bgColor rgb="FFFFFFFF"/>
      </patternFill>
    </fill>
    <fill>
      <patternFill patternType="solid">
        <fgColor rgb="FF183B56"/>
      </patternFill>
    </fill>
    <fill>
      <patternFill patternType="solid">
        <fgColor rgb="FFFFF4CC"/>
      </patternFill>
    </fill>
    <fill>
      <patternFill patternType="solid">
        <fgColor rgb="FFE8F5E9"/>
      </patternFill>
    </fill>
    <fill>
      <patternFill patternType="solid">
        <fgColor rgb="FF0B6B6B"/>
      </patternFill>
    </fill>
    <fill>
      <patternFill patternType="solid">
        <fgColor rgb="FFF3F4F6"/>
      </patternFill>
    </fill>
    <fill>
      <patternFill patternType="solid">
        <fgColor rgb="FFEFF6FB"/>
      </patternFill>
    </fill>
    <fill>
      <patternFill patternType="solid">
        <fgColor rgb="FFFFF1E6"/>
      </patternFill>
    </fill>
  </fills>
  <borders count="7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AAB8C2"/>
      </left>
      <right style="thin">
        <color rgb="FFAAB8C2"/>
      </right>
      <top style="thin">
        <color rgb="FFAAB8C2"/>
      </top>
      <bottom style="thin">
        <color rgb="FFAAB8C2"/>
      </bottom>
      <diagonal/>
    </border>
    <border>
      <left style="thin">
        <color rgb="FF0B6B6B"/>
      </left>
      <right style="thin">
        <color rgb="FF0B6B6B"/>
      </right>
      <top style="thin">
        <color rgb="FF0B6B6B"/>
      </top>
      <bottom style="thin">
        <color rgb="FF0B6B6B"/>
      </bottom>
      <diagonal/>
    </border>
    <border>
      <left style="thin">
        <color rgb="FFAAB8C2"/>
      </left>
      <right/>
      <top style="thin">
        <color rgb="FF0B6B6B"/>
      </top>
      <bottom style="thin">
        <color rgb="FFAAB8C2"/>
      </bottom>
      <diagonal/>
    </border>
    <border>
      <left/>
      <right/>
      <top style="thin">
        <color rgb="FF0B6B6B"/>
      </top>
      <bottom style="thin">
        <color rgb="FFAAB8C2"/>
      </bottom>
      <diagonal/>
    </border>
    <border>
      <left/>
      <right style="thin">
        <color rgb="FFAAB8C2"/>
      </right>
      <top style="thin">
        <color rgb="FF0B6B6B"/>
      </top>
      <bottom style="thin">
        <color rgb="FFAAB8C2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NumberFormat="1" applyFont="1" applyFill="1" applyBorder="1" applyAlignment="1">
      <alignment horizontal="center" vertical="center" wrapText="1"/>
    </xf>
    <xf numFmtId="0" fontId="2" fillId="3" borderId="2" xfId="0" applyNumberFormat="1" applyFont="1" applyFill="1" applyBorder="1" applyAlignment="1">
      <alignment horizontal="center" vertical="center" wrapText="1"/>
    </xf>
    <xf numFmtId="2" fontId="3" fillId="7" borderId="2" xfId="0" applyNumberFormat="1" applyFont="1" applyFill="1" applyBorder="1" applyAlignment="1">
      <alignment horizontal="center" vertical="center" wrapText="1"/>
    </xf>
    <xf numFmtId="4" fontId="3" fillId="7" borderId="2" xfId="0" applyNumberFormat="1" applyFont="1" applyFill="1" applyBorder="1" applyAlignment="1">
      <alignment horizontal="center" vertical="center" wrapText="1"/>
    </xf>
    <xf numFmtId="0" fontId="1" fillId="2" borderId="1" xfId="0" applyNumberFormat="1" applyFont="1" applyFill="1" applyBorder="1" applyAlignment="1">
      <alignment horizontal="center" vertical="center"/>
    </xf>
    <xf numFmtId="0" fontId="0" fillId="0" borderId="0" xfId="0" applyAlignment="1"/>
    <xf numFmtId="2" fontId="3" fillId="4" borderId="2" xfId="0" applyNumberFormat="1" applyFont="1" applyFill="1" applyBorder="1" applyAlignment="1">
      <alignment horizontal="right" vertical="center" wrapText="1"/>
    </xf>
    <xf numFmtId="10" fontId="3" fillId="4" borderId="2" xfId="0" applyNumberFormat="1" applyFont="1" applyFill="1" applyBorder="1" applyAlignment="1">
      <alignment horizontal="right" vertical="center" wrapText="1"/>
    </xf>
    <xf numFmtId="1" fontId="2" fillId="3" borderId="2" xfId="0" applyNumberFormat="1" applyFont="1" applyFill="1" applyBorder="1" applyAlignment="1">
      <alignment horizontal="right" vertical="center" wrapText="1"/>
    </xf>
    <xf numFmtId="1" fontId="3" fillId="4" borderId="2" xfId="0" applyNumberFormat="1" applyFont="1" applyFill="1" applyBorder="1" applyAlignment="1">
      <alignment horizontal="right" vertical="center" wrapText="1"/>
    </xf>
    <xf numFmtId="3" fontId="2" fillId="3" borderId="2" xfId="0" applyNumberFormat="1" applyFont="1" applyFill="1" applyBorder="1" applyAlignment="1">
      <alignment horizontal="right" vertical="center" wrapText="1"/>
    </xf>
    <xf numFmtId="3" fontId="3" fillId="4" borderId="2" xfId="0" applyNumberFormat="1" applyFont="1" applyFill="1" applyBorder="1" applyAlignment="1">
      <alignment horizontal="right" vertical="center" wrapText="1"/>
    </xf>
    <xf numFmtId="0" fontId="5" fillId="5" borderId="1" xfId="0" applyNumberFormat="1" applyFont="1" applyFill="1" applyBorder="1" applyAlignment="1">
      <alignment horizontal="center" vertical="center" wrapText="1"/>
    </xf>
    <xf numFmtId="0" fontId="3" fillId="9" borderId="2" xfId="0" applyNumberFormat="1" applyFont="1" applyFill="1" applyBorder="1" applyAlignment="1">
      <alignment horizontal="center" vertical="center" wrapText="1"/>
    </xf>
    <xf numFmtId="0" fontId="3" fillId="7" borderId="2" xfId="0" applyNumberFormat="1" applyFont="1" applyFill="1" applyBorder="1" applyAlignment="1">
      <alignment horizontal="center" vertical="center" wrapText="1"/>
    </xf>
    <xf numFmtId="0" fontId="3" fillId="9" borderId="2" xfId="0" applyNumberFormat="1" applyFont="1" applyFill="1" applyBorder="1" applyAlignment="1">
      <alignment vertical="center" wrapText="1"/>
    </xf>
    <xf numFmtId="1" fontId="2" fillId="6" borderId="2" xfId="0" applyNumberFormat="1" applyFont="1" applyFill="1" applyBorder="1" applyAlignment="1">
      <alignment vertical="center" wrapText="1"/>
    </xf>
    <xf numFmtId="2" fontId="3" fillId="9" borderId="2" xfId="0" applyNumberFormat="1" applyFont="1" applyFill="1" applyBorder="1" applyAlignment="1">
      <alignment vertical="center" wrapText="1"/>
    </xf>
    <xf numFmtId="0" fontId="2" fillId="6" borderId="2" xfId="0" applyNumberFormat="1" applyFont="1" applyFill="1" applyBorder="1" applyAlignment="1">
      <alignment vertical="center" wrapText="1"/>
    </xf>
    <xf numFmtId="0" fontId="2" fillId="10" borderId="2" xfId="0" applyNumberFormat="1" applyFont="1" applyFill="1" applyBorder="1" applyAlignment="1">
      <alignment vertical="center" wrapText="1"/>
    </xf>
    <xf numFmtId="0" fontId="3" fillId="9" borderId="2" xfId="0" applyNumberFormat="1" applyFont="1" applyFill="1" applyBorder="1" applyAlignment="1">
      <alignment vertical="center" wrapText="1"/>
    </xf>
    <xf numFmtId="4" fontId="2" fillId="6" borderId="2" xfId="0" applyNumberFormat="1" applyFont="1" applyFill="1" applyBorder="1" applyAlignment="1">
      <alignment horizontal="left" vertical="center" wrapText="1"/>
    </xf>
    <xf numFmtId="0" fontId="4" fillId="8" borderId="3" xfId="0" applyNumberFormat="1" applyFont="1" applyFill="1" applyBorder="1" applyAlignment="1">
      <alignment horizontal="left" vertical="center"/>
    </xf>
    <xf numFmtId="0" fontId="2" fillId="6" borderId="4" xfId="0" applyNumberFormat="1" applyFont="1" applyFill="1" applyBorder="1" applyAlignment="1">
      <alignment horizontal="center" vertical="top" wrapText="1"/>
    </xf>
    <xf numFmtId="0" fontId="2" fillId="6" borderId="5" xfId="0" applyNumberFormat="1" applyFont="1" applyFill="1" applyBorder="1" applyAlignment="1">
      <alignment horizontal="center" vertical="top" wrapText="1"/>
    </xf>
    <xf numFmtId="0" fontId="2" fillId="6" borderId="6" xfId="0" applyNumberFormat="1" applyFont="1" applyFill="1" applyBorder="1" applyAlignment="1">
      <alignment horizontal="center" vertical="top" wrapText="1"/>
    </xf>
    <xf numFmtId="0" fontId="2" fillId="6" borderId="2" xfId="0" applyNumberFormat="1" applyFont="1" applyFill="1" applyBorder="1" applyAlignment="1">
      <alignment horizontal="left" vertical="center" wrapText="1"/>
    </xf>
    <xf numFmtId="0" fontId="8" fillId="5" borderId="0" xfId="0" applyNumberFormat="1" applyFont="1" applyFill="1" applyBorder="1" applyAlignment="1">
      <alignment horizontal="center" vertical="center"/>
    </xf>
    <xf numFmtId="0" fontId="5" fillId="5" borderId="1" xfId="0" applyNumberFormat="1" applyFont="1" applyFill="1" applyBorder="1" applyAlignment="1">
      <alignment horizontal="center" vertical="center" wrapText="1"/>
    </xf>
    <xf numFmtId="0" fontId="6" fillId="10" borderId="2" xfId="0" applyNumberFormat="1" applyFont="1" applyFill="1" applyBorder="1" applyAlignment="1">
      <alignment vertical="center" wrapText="1"/>
    </xf>
    <xf numFmtId="0" fontId="3" fillId="7" borderId="2" xfId="0" applyNumberFormat="1" applyFont="1" applyFill="1" applyBorder="1" applyAlignment="1">
      <alignment horizontal="center" vertical="center" wrapText="1"/>
    </xf>
    <xf numFmtId="0" fontId="7" fillId="11" borderId="2" xfId="0" applyNumberFormat="1" applyFont="1" applyFill="1" applyBorder="1" applyAlignment="1">
      <alignment vertical="center" wrapText="1"/>
    </xf>
  </cellXfs>
  <cellStyles count="1">
    <cellStyle name="Normal" xfId="0" builtinId="0"/>
  </cellStyles>
  <dxfs count="7">
    <dxf>
      <font>
        <b/>
        <color rgb="FF9B1C1C"/>
      </font>
      <fill>
        <patternFill patternType="solid">
          <bgColor rgb="FFFDE2E2"/>
        </patternFill>
      </fill>
    </dxf>
    <dxf>
      <font>
        <b/>
        <color rgb="FF176B2C"/>
      </font>
      <fill>
        <patternFill patternType="solid">
          <bgColor rgb="FFD9EFD9"/>
        </patternFill>
      </fill>
    </dxf>
    <dxf>
      <font>
        <b/>
        <color rgb="FF9B1C1C"/>
      </font>
      <fill>
        <patternFill patternType="solid">
          <bgColor rgb="FFFDE2E2"/>
        </patternFill>
      </fill>
    </dxf>
    <dxf>
      <font>
        <b/>
        <color rgb="FF176B2C"/>
      </font>
      <fill>
        <patternFill patternType="solid">
          <bgColor rgb="FFD9EFD9"/>
        </patternFill>
      </fill>
    </dxf>
    <dxf>
      <font>
        <b/>
        <color rgb="FF9B1C1C"/>
      </font>
      <fill>
        <patternFill patternType="solid">
          <bgColor rgb="FFFDE2E2"/>
        </patternFill>
      </fill>
    </dxf>
    <dxf>
      <font>
        <b/>
        <color rgb="FF176B2C"/>
      </font>
      <fill>
        <patternFill patternType="solid">
          <bgColor rgb="FFD9EFD9"/>
        </patternFill>
      </fill>
    </dxf>
    <dxf>
      <font>
        <color rgb="FF9B1C1C"/>
      </font>
      <fill>
        <patternFill patternType="solid">
          <bgColor rgb="FFFDE2E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N28"/>
  <sheetViews>
    <sheetView tabSelected="1" workbookViewId="0">
      <selection sqref="A1:N1"/>
    </sheetView>
  </sheetViews>
  <sheetFormatPr defaultRowHeight="14.5"/>
  <cols>
    <col min="1" max="2" width="18.90625" customWidth="1"/>
    <col min="3" max="3" width="12.26953125" customWidth="1"/>
    <col min="4" max="4" width="12.54296875" customWidth="1"/>
    <col min="5" max="5" width="10.54296875" customWidth="1"/>
    <col min="6" max="6" width="11.7265625" customWidth="1"/>
    <col min="7" max="7" width="18" customWidth="1"/>
    <col min="8" max="8" width="19.7265625" customWidth="1"/>
    <col min="9" max="9" width="14.81640625" customWidth="1"/>
    <col min="10" max="10" width="10" customWidth="1"/>
    <col min="11" max="11" width="17.6328125" customWidth="1"/>
    <col min="12" max="12" width="15.54296875" customWidth="1"/>
    <col min="13" max="13" width="15.1796875" customWidth="1"/>
    <col min="14" max="14" width="23" customWidth="1"/>
  </cols>
  <sheetData>
    <row r="1" spans="1:14" ht="20">
      <c r="A1" s="28" t="s">
        <v>42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</row>
    <row r="3" spans="1:14" ht="23.25" customHeight="1">
      <c r="A3" s="23" t="s">
        <v>43</v>
      </c>
      <c r="B3" s="23" t="s">
        <v>43</v>
      </c>
      <c r="C3" s="23" t="s">
        <v>43</v>
      </c>
      <c r="D3" s="23" t="s">
        <v>43</v>
      </c>
      <c r="E3" s="23" t="s">
        <v>43</v>
      </c>
      <c r="F3" s="23" t="s">
        <v>43</v>
      </c>
      <c r="G3" s="23" t="s">
        <v>43</v>
      </c>
      <c r="H3" s="23" t="s">
        <v>43</v>
      </c>
      <c r="I3" s="23" t="s">
        <v>43</v>
      </c>
      <c r="J3" s="23" t="s">
        <v>43</v>
      </c>
      <c r="K3" s="23" t="s">
        <v>43</v>
      </c>
      <c r="L3" s="23" t="s">
        <v>43</v>
      </c>
      <c r="M3" s="23" t="s">
        <v>43</v>
      </c>
      <c r="N3" s="23" t="s">
        <v>43</v>
      </c>
    </row>
    <row r="4" spans="1:14" ht="23.5" customHeight="1">
      <c r="A4" s="21" t="s">
        <v>44</v>
      </c>
      <c r="B4" s="21"/>
      <c r="C4" s="27"/>
      <c r="D4" s="27"/>
      <c r="E4" s="27"/>
      <c r="F4" s="27"/>
      <c r="G4" s="21" t="s">
        <v>45</v>
      </c>
      <c r="H4" s="21"/>
      <c r="I4" s="27"/>
      <c r="J4" s="27"/>
      <c r="K4" s="27"/>
      <c r="L4" s="27"/>
      <c r="M4" s="27"/>
      <c r="N4" s="27"/>
    </row>
    <row r="5" spans="1:14" ht="27" customHeight="1">
      <c r="A5" s="21" t="s">
        <v>46</v>
      </c>
      <c r="B5" s="21"/>
      <c r="C5" s="27"/>
      <c r="D5" s="27"/>
      <c r="E5" s="21" t="s">
        <v>47</v>
      </c>
      <c r="F5" s="21"/>
      <c r="G5" s="27"/>
      <c r="H5" s="27"/>
      <c r="I5" s="21" t="s">
        <v>48</v>
      </c>
      <c r="J5" s="21"/>
      <c r="K5" s="22"/>
      <c r="L5" s="22"/>
      <c r="M5" s="22"/>
      <c r="N5" s="22"/>
    </row>
    <row r="7" spans="1:14" ht="23.25" customHeight="1">
      <c r="A7" s="23" t="s">
        <v>8</v>
      </c>
      <c r="B7" s="23" t="s">
        <v>8</v>
      </c>
      <c r="C7" s="23" t="s">
        <v>8</v>
      </c>
      <c r="D7" s="23" t="s">
        <v>8</v>
      </c>
      <c r="E7" s="23" t="s">
        <v>8</v>
      </c>
      <c r="F7" s="23" t="s">
        <v>8</v>
      </c>
      <c r="G7" s="23" t="s">
        <v>8</v>
      </c>
      <c r="H7" s="23" t="s">
        <v>8</v>
      </c>
      <c r="I7" s="23" t="s">
        <v>8</v>
      </c>
      <c r="J7" s="23" t="s">
        <v>8</v>
      </c>
      <c r="K7" s="23" t="s">
        <v>8</v>
      </c>
      <c r="L7" s="23" t="s">
        <v>8</v>
      </c>
      <c r="M7" s="23" t="s">
        <v>8</v>
      </c>
      <c r="N7" s="23" t="s">
        <v>8</v>
      </c>
    </row>
    <row r="8" spans="1:14" ht="26">
      <c r="A8" s="13" t="s">
        <v>10</v>
      </c>
      <c r="B8" s="13" t="s">
        <v>24</v>
      </c>
      <c r="C8" s="13" t="s">
        <v>25</v>
      </c>
      <c r="D8" s="13" t="s">
        <v>26</v>
      </c>
      <c r="E8" s="13" t="s">
        <v>11</v>
      </c>
      <c r="F8" s="29" t="s">
        <v>12</v>
      </c>
      <c r="G8" s="29"/>
      <c r="H8" s="29"/>
      <c r="I8" s="29"/>
      <c r="J8" s="29"/>
      <c r="K8" s="29"/>
      <c r="L8" s="29"/>
      <c r="M8" s="29"/>
      <c r="N8" s="29"/>
    </row>
    <row r="9" spans="1:14" ht="23.25" customHeight="1">
      <c r="A9" s="14"/>
      <c r="B9" s="17"/>
      <c r="C9" s="17"/>
      <c r="D9" s="15"/>
      <c r="E9" s="15" t="str">
        <f>IF(D9="","",IF(AND(D9&gt;20,B9&gt;C9),"EVET","HAYIR"))</f>
        <v/>
      </c>
      <c r="F9" s="30" t="s">
        <v>27</v>
      </c>
      <c r="G9" s="30"/>
      <c r="H9" s="30"/>
      <c r="I9" s="30"/>
      <c r="J9" s="30"/>
      <c r="K9" s="30"/>
      <c r="L9" s="30"/>
      <c r="M9" s="30"/>
      <c r="N9" s="30"/>
    </row>
    <row r="10" spans="1:14" ht="23.25" customHeight="1">
      <c r="A10" s="14"/>
      <c r="B10" s="17"/>
      <c r="C10" s="17"/>
      <c r="D10" s="15"/>
      <c r="E10" s="15" t="str">
        <f>IF(D10="","",IF(AND(D10&gt;20,B10&gt;C10),"EVET","HAYIR"))</f>
        <v/>
      </c>
      <c r="F10" s="30" t="s">
        <v>13</v>
      </c>
      <c r="G10" s="30"/>
      <c r="H10" s="30"/>
      <c r="I10" s="30"/>
      <c r="J10" s="30"/>
      <c r="K10" s="30"/>
      <c r="L10" s="30"/>
      <c r="M10" s="30"/>
      <c r="N10" s="30"/>
    </row>
    <row r="11" spans="1:14" ht="23.25" customHeight="1">
      <c r="A11" s="16" t="s">
        <v>14</v>
      </c>
      <c r="B11" s="31" t="str">
        <f>IF(COUNT(B9:C10)&lt;4,"",IF(AND(AVERAGE(D9:D10)&gt;20,SUM(B9:B10)&gt;SUM(C9:C10)),"SAĞLANIYOR","SAĞLANMIYOR"))</f>
        <v/>
      </c>
      <c r="C11" s="31"/>
      <c r="D11" s="31"/>
      <c r="E11" s="16" t="s">
        <v>15</v>
      </c>
      <c r="F11" s="15" t="str">
        <f>IF(B11="","",IF(B11="SAĞLANIYOR",2.5,0))</f>
        <v/>
      </c>
      <c r="G11" s="32" t="s">
        <v>28</v>
      </c>
      <c r="H11" s="32"/>
      <c r="I11" s="32"/>
      <c r="J11" s="32"/>
      <c r="K11" s="32"/>
      <c r="L11" s="32"/>
      <c r="M11" s="32"/>
      <c r="N11" s="32"/>
    </row>
    <row r="13" spans="1:14" ht="23.25" customHeight="1">
      <c r="A13" s="23" t="s">
        <v>37</v>
      </c>
      <c r="B13" s="23" t="s">
        <v>16</v>
      </c>
      <c r="C13" s="23" t="s">
        <v>16</v>
      </c>
      <c r="D13" s="23" t="s">
        <v>16</v>
      </c>
      <c r="E13" s="23" t="s">
        <v>16</v>
      </c>
      <c r="F13" s="23" t="s">
        <v>16</v>
      </c>
      <c r="G13" s="23" t="s">
        <v>16</v>
      </c>
      <c r="H13" s="23" t="s">
        <v>16</v>
      </c>
      <c r="I13" s="23" t="s">
        <v>16</v>
      </c>
      <c r="J13" s="23" t="s">
        <v>16</v>
      </c>
      <c r="K13" s="23" t="s">
        <v>16</v>
      </c>
      <c r="L13" s="23" t="s">
        <v>16</v>
      </c>
      <c r="M13" s="23" t="s">
        <v>16</v>
      </c>
      <c r="N13" s="23" t="s">
        <v>16</v>
      </c>
    </row>
    <row r="14" spans="1:14" ht="52">
      <c r="A14" s="16" t="s">
        <v>29</v>
      </c>
      <c r="B14" s="3">
        <f>SUM(E20:E28)</f>
        <v>0</v>
      </c>
      <c r="C14" s="18" t="s">
        <v>30</v>
      </c>
      <c r="D14" s="3">
        <f>SUM(F19:F28)</f>
        <v>0</v>
      </c>
      <c r="E14" s="18" t="s">
        <v>31</v>
      </c>
      <c r="F14" s="3" t="e">
        <f>D14/(K5/100000)</f>
        <v>#DIV/0!</v>
      </c>
      <c r="G14" s="18" t="s">
        <v>32</v>
      </c>
      <c r="H14" s="3">
        <f>SUMIF(C19:C28,"Kadın",F19:F28)</f>
        <v>0</v>
      </c>
      <c r="I14" s="18" t="s">
        <v>33</v>
      </c>
      <c r="J14" s="3">
        <f>SUMIF(D19:D28,"Genç",F19:F28)</f>
        <v>0</v>
      </c>
      <c r="K14" s="18" t="s">
        <v>38</v>
      </c>
      <c r="L14" s="3">
        <f>SUM(L19:L28)</f>
        <v>0</v>
      </c>
      <c r="M14" s="16" t="s">
        <v>17</v>
      </c>
      <c r="N14" s="4">
        <f>SUM(K19:K28)*12</f>
        <v>0</v>
      </c>
    </row>
    <row r="15" spans="1:14" ht="52">
      <c r="A15" s="16" t="s">
        <v>18</v>
      </c>
      <c r="B15" s="3" t="e">
        <f>IF(F14="","",IF(F14&gt;=0.25,"SAĞLANIYOR","SAĞLANMIYOR"))</f>
        <v>#DIV/0!</v>
      </c>
      <c r="C15" s="18" t="s">
        <v>19</v>
      </c>
      <c r="D15" s="3" t="e">
        <f>IF(F14="","",IF(F14&lt;0.25,0,IF(F14&lt;0.5,5,IF(F14&lt;0.75,10,IF(F14&lt;1,15,20)))))</f>
        <v>#DIV/0!</v>
      </c>
      <c r="E15" s="18" t="s">
        <v>20</v>
      </c>
      <c r="F15" s="3" t="str">
        <f>F11</f>
        <v/>
      </c>
      <c r="G15" s="18" t="s">
        <v>21</v>
      </c>
      <c r="H15" s="3" t="e">
        <f>IF(OR(D15="",F15=""),"",SUM(D15,F15))</f>
        <v>#DIV/0!</v>
      </c>
      <c r="I15" s="18" t="s">
        <v>40</v>
      </c>
      <c r="J15" s="3">
        <f>SUMIF(C19:C28,"Kadın",L19:L28)</f>
        <v>0</v>
      </c>
      <c r="K15" s="18" t="s">
        <v>39</v>
      </c>
      <c r="L15" s="3">
        <f>SUMIF(D19:D28,"Genç",L19:L28)</f>
        <v>0</v>
      </c>
      <c r="M15" s="16" t="s">
        <v>22</v>
      </c>
      <c r="N15" s="15" t="s">
        <v>23</v>
      </c>
    </row>
    <row r="17" spans="1:14" ht="23.25" customHeight="1">
      <c r="A17" s="23" t="s">
        <v>9</v>
      </c>
      <c r="B17" s="23" t="s">
        <v>9</v>
      </c>
      <c r="C17" s="23" t="s">
        <v>9</v>
      </c>
      <c r="D17" s="23" t="s">
        <v>9</v>
      </c>
      <c r="E17" s="23" t="s">
        <v>9</v>
      </c>
      <c r="F17" s="23" t="s">
        <v>9</v>
      </c>
      <c r="G17" s="23" t="s">
        <v>9</v>
      </c>
      <c r="H17" s="23" t="s">
        <v>9</v>
      </c>
      <c r="I17" s="23" t="s">
        <v>9</v>
      </c>
      <c r="J17" s="23" t="s">
        <v>9</v>
      </c>
      <c r="K17" s="23" t="s">
        <v>9</v>
      </c>
      <c r="L17" s="23" t="s">
        <v>9</v>
      </c>
      <c r="M17" s="23" t="s">
        <v>9</v>
      </c>
      <c r="N17" s="23" t="s">
        <v>9</v>
      </c>
    </row>
    <row r="18" spans="1:14" s="6" customFormat="1" ht="38.5" customHeight="1">
      <c r="A18" s="5" t="s">
        <v>0</v>
      </c>
      <c r="B18" s="5" t="s">
        <v>1</v>
      </c>
      <c r="C18" s="5" t="s">
        <v>2</v>
      </c>
      <c r="D18" s="5" t="s">
        <v>3</v>
      </c>
      <c r="E18" s="1" t="s">
        <v>34</v>
      </c>
      <c r="F18" s="1" t="s">
        <v>35</v>
      </c>
      <c r="G18" s="1" t="s">
        <v>36</v>
      </c>
      <c r="H18" s="1" t="s">
        <v>4</v>
      </c>
      <c r="I18" s="1" t="s">
        <v>5</v>
      </c>
      <c r="J18" s="1" t="s">
        <v>6</v>
      </c>
      <c r="K18" s="1" t="s">
        <v>7</v>
      </c>
      <c r="L18" s="1" t="s">
        <v>41</v>
      </c>
    </row>
    <row r="19" spans="1:14" ht="23.25" customHeight="1">
      <c r="A19" s="2"/>
      <c r="B19" s="2"/>
      <c r="C19" s="2"/>
      <c r="D19" s="2"/>
      <c r="E19" s="9"/>
      <c r="F19" s="9"/>
      <c r="G19" s="10"/>
      <c r="H19" s="11"/>
      <c r="I19" s="11"/>
      <c r="J19" s="8"/>
      <c r="K19" s="12"/>
      <c r="L19" s="7"/>
    </row>
    <row r="21" spans="1:14" ht="23.25" customHeight="1">
      <c r="A21" s="23" t="s">
        <v>49</v>
      </c>
      <c r="B21" s="23" t="s">
        <v>49</v>
      </c>
      <c r="C21" s="23" t="s">
        <v>49</v>
      </c>
      <c r="D21" s="23" t="s">
        <v>49</v>
      </c>
      <c r="E21" s="23" t="s">
        <v>49</v>
      </c>
      <c r="F21" s="23" t="s">
        <v>49</v>
      </c>
      <c r="G21" s="23" t="s">
        <v>49</v>
      </c>
      <c r="H21" s="23" t="s">
        <v>49</v>
      </c>
      <c r="I21" s="23" t="s">
        <v>49</v>
      </c>
      <c r="J21" s="23" t="s">
        <v>49</v>
      </c>
      <c r="K21" s="23" t="s">
        <v>49</v>
      </c>
      <c r="L21" s="23" t="s">
        <v>49</v>
      </c>
      <c r="M21" s="23" t="s">
        <v>49</v>
      </c>
      <c r="N21" s="23" t="s">
        <v>49</v>
      </c>
    </row>
    <row r="22" spans="1:14" ht="58" customHeight="1">
      <c r="A22" s="24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6"/>
    </row>
    <row r="24" spans="1:14">
      <c r="A24" s="23" t="s">
        <v>50</v>
      </c>
      <c r="B24" s="23" t="s">
        <v>50</v>
      </c>
      <c r="C24" s="23" t="s">
        <v>50</v>
      </c>
      <c r="D24" s="23" t="s">
        <v>50</v>
      </c>
      <c r="E24" s="23" t="s">
        <v>50</v>
      </c>
      <c r="F24" s="23" t="s">
        <v>50</v>
      </c>
      <c r="G24" s="23" t="s">
        <v>50</v>
      </c>
      <c r="H24" s="23" t="s">
        <v>50</v>
      </c>
      <c r="I24" s="23" t="s">
        <v>50</v>
      </c>
      <c r="J24" s="23" t="s">
        <v>50</v>
      </c>
      <c r="K24" s="23" t="s">
        <v>50</v>
      </c>
      <c r="L24" s="23" t="s">
        <v>50</v>
      </c>
      <c r="M24" s="23" t="s">
        <v>50</v>
      </c>
      <c r="N24" s="23" t="s">
        <v>50</v>
      </c>
    </row>
    <row r="25" spans="1:14">
      <c r="A25" s="20" t="s">
        <v>51</v>
      </c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</row>
    <row r="26" spans="1:14">
      <c r="A26" s="21" t="s">
        <v>52</v>
      </c>
      <c r="B26" s="21"/>
      <c r="C26" s="21"/>
      <c r="D26" s="21"/>
      <c r="E26" s="21" t="s">
        <v>53</v>
      </c>
      <c r="F26" s="21"/>
      <c r="G26" s="21"/>
      <c r="H26" s="21"/>
      <c r="I26" s="21" t="s">
        <v>54</v>
      </c>
      <c r="J26" s="21"/>
      <c r="K26" s="21"/>
      <c r="L26" s="21" t="s">
        <v>55</v>
      </c>
      <c r="M26" s="21"/>
      <c r="N26" s="21"/>
    </row>
    <row r="27" spans="1:14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</row>
    <row r="28" spans="1:14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</row>
  </sheetData>
  <mergeCells count="32">
    <mergeCell ref="A13:N13"/>
    <mergeCell ref="A1:N1"/>
    <mergeCell ref="A3:N3"/>
    <mergeCell ref="A4:B4"/>
    <mergeCell ref="C4:F4"/>
    <mergeCell ref="G4:H4"/>
    <mergeCell ref="I4:N4"/>
    <mergeCell ref="K5:N5"/>
    <mergeCell ref="A21:N21"/>
    <mergeCell ref="A22:N22"/>
    <mergeCell ref="A24:N24"/>
    <mergeCell ref="A5:B5"/>
    <mergeCell ref="C5:D5"/>
    <mergeCell ref="E5:F5"/>
    <mergeCell ref="G5:H5"/>
    <mergeCell ref="I5:J5"/>
    <mergeCell ref="A7:N7"/>
    <mergeCell ref="A17:N17"/>
    <mergeCell ref="F8:N8"/>
    <mergeCell ref="F9:N9"/>
    <mergeCell ref="F10:N10"/>
    <mergeCell ref="B11:D11"/>
    <mergeCell ref="G11:N11"/>
    <mergeCell ref="A27:D28"/>
    <mergeCell ref="E27:H28"/>
    <mergeCell ref="I27:K28"/>
    <mergeCell ref="L27:N28"/>
    <mergeCell ref="A25:N25"/>
    <mergeCell ref="A26:D26"/>
    <mergeCell ref="E26:H26"/>
    <mergeCell ref="I26:K26"/>
    <mergeCell ref="L26:N26"/>
  </mergeCells>
  <conditionalFormatting sqref="J19:L19">
    <cfRule type="cellIs" dxfId="6" priority="7" operator="lessThan">
      <formula>0</formula>
    </cfRule>
  </conditionalFormatting>
  <conditionalFormatting sqref="E9:E10">
    <cfRule type="containsText" dxfId="5" priority="3" operator="containsText" text="EVET"/>
    <cfRule type="containsText" dxfId="4" priority="4" operator="containsText" text="HAYIR"/>
  </conditionalFormatting>
  <conditionalFormatting sqref="B11:D11">
    <cfRule type="containsText" dxfId="3" priority="5" operator="containsText" text="SAĞLANIYOR"/>
    <cfRule type="containsText" dxfId="2" priority="6" operator="containsText" text="SAĞLANMIYOR"/>
  </conditionalFormatting>
  <conditionalFormatting sqref="B15">
    <cfRule type="containsText" dxfId="1" priority="1" operator="containsText" text="SAĞLANIYOR"/>
    <cfRule type="containsText" dxfId="0" priority="2" operator="containsText" text="SAĞLANMIYOR"/>
  </conditionalFormatting>
  <dataValidations count="5">
    <dataValidation type="decimal" sqref="F19">
      <formula1>-100000</formula1>
      <formula2>100000</formula2>
    </dataValidation>
    <dataValidation type="list" sqref="D19">
      <formula1>"Genç,40 yaş ve üstü"</formula1>
    </dataValidation>
    <dataValidation type="list" sqref="C19">
      <formula1>"Kadın,Erkek"</formula1>
    </dataValidation>
    <dataValidation type="decimal" operator="greaterThanOrEqual" sqref="H19:I19 E19 B9:C10">
      <formula1>0</formula1>
    </dataValidation>
    <dataValidation type="decimal" operator="greaterThan" sqref="K5:N5">
      <formula1>0</formula1>
    </dataValidation>
  </dataValidations>
  <pageMargins left="0.25" right="0.25" top="0.75" bottom="0.75" header="0.3" footer="0.3"/>
  <pageSetup paperSize="9" scale="65" fitToHeight="0" orientation="landscape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cp:lastPrinted>2026-08-28T22:00:10Z</cp:lastPrinted>
  <dcterms:created xsi:type="dcterms:W3CDTF">2026-08-28T19:12:14Z</dcterms:created>
  <dcterms:modified xsi:type="dcterms:W3CDTF">2026-08-28T22:00:35Z</dcterms:modified>
</cp:coreProperties>
</file>