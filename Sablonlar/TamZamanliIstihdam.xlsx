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kan.ozen\Downloads\"/>
    </mc:Choice>
  </mc:AlternateContent>
  <xr:revisionPtr revIDLastSave="0" documentId="13_ncr:1_{C01B0074-863A-45FF-B030-603FFAFB3D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şvuru Formu" sheetId="1" r:id="rId1"/>
    <sheet name="Doldurma Rehbe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J15" i="1"/>
  <c r="L16" i="1" s="1"/>
  <c r="H15" i="1"/>
  <c r="J16" i="1" s="1"/>
  <c r="D15" i="1"/>
  <c r="L15" i="1" s="1"/>
  <c r="B15" i="1"/>
  <c r="D10" i="1"/>
  <c r="E10" i="1" s="1"/>
  <c r="D9" i="1"/>
  <c r="B11" i="1" s="1"/>
  <c r="E11" i="1" s="1"/>
  <c r="F16" i="1" s="1"/>
  <c r="F15" i="1" l="1"/>
  <c r="D16" i="1" s="1"/>
  <c r="H16" i="1" s="1"/>
  <c r="E9" i="1"/>
  <c r="B16" i="1" l="1"/>
</calcChain>
</file>

<file path=xl/sharedStrings.xml><?xml version="1.0" encoding="utf-8"?>
<sst xmlns="http://schemas.openxmlformats.org/spreadsheetml/2006/main" count="107" uniqueCount="99">
  <si>
    <t>A. BAŞVURU BİLGİLERİ</t>
  </si>
  <si>
    <t>Başvuru Sahibi Tüzel Kişi</t>
  </si>
  <si>
    <t>Vergi / MERSİS No</t>
  </si>
  <si>
    <t>İl</t>
  </si>
  <si>
    <t>İlçe</t>
  </si>
  <si>
    <t>B. SON İKİ TAMAMLANMIŞ YILDA KADIN / ERKEK İSTİHDAMI VE PUANI</t>
  </si>
  <si>
    <t>Dönem</t>
  </si>
  <si>
    <t>Yıllık Kontrol</t>
  </si>
  <si>
    <t>Kriterin Uygulanışı / Açıklama</t>
  </si>
  <si>
    <t>Puan hesabında iki yıl birlikte değerlendirilir; yöntem Doldurma Rehberi'nde açıklanmıştır.</t>
  </si>
  <si>
    <t>Kriter Durumu</t>
  </si>
  <si>
    <t>Puan</t>
  </si>
  <si>
    <t>C. OTOMATİK ÖZET VE SIRALAMA PUANI</t>
  </si>
  <si>
    <t>Asgari Eşik (0,25)</t>
  </si>
  <si>
    <t>İstihdam Puanı (maks. 20)</t>
  </si>
  <si>
    <t>Kadın İstihdam Puanı (maks. 2,5)</t>
  </si>
  <si>
    <t>Bu Formdan Gelen Puan (maks. 22,5)</t>
  </si>
  <si>
    <t>Planlanan Kadın İş Eşdeğeri</t>
  </si>
  <si>
    <t>Planlanan Genç İş Eşdeğeri</t>
  </si>
  <si>
    <t>Birim / Ünite</t>
  </si>
  <si>
    <t>Görev / Üretim Hattı</t>
  </si>
  <si>
    <t>Cinsiyet</t>
  </si>
  <si>
    <t>Yaş Durumu</t>
  </si>
  <si>
    <t>Erkek</t>
  </si>
  <si>
    <t>40 yaş ve üstü</t>
  </si>
  <si>
    <t>Kadın</t>
  </si>
  <si>
    <t>Genç</t>
  </si>
  <si>
    <t>F. BEYAN VE ONAY</t>
  </si>
  <si>
    <t>Yetkili Adı Soyadı</t>
  </si>
  <si>
    <t>Unvan</t>
  </si>
  <si>
    <t>Tarih</t>
  </si>
  <si>
    <t>Kaşe / İmza</t>
  </si>
  <si>
    <t>DOLDURMA REHBERİ — İSTİHDAM VE PLANLANAN İŞ EŞDEĞERİ (2026–2027)</t>
  </si>
  <si>
    <t>Form, 2026 gerçekleşen istihdamı ve 2027 planlanan net ek FTE'yi karşılaştırır. Mevcut/ilk ücret bilgisi yalnız veri amacıyla alınır ve hesaplamalara girmez.</t>
  </si>
  <si>
    <t>1. BAŞVURU VE RFF BİLGİLERİ</t>
  </si>
  <si>
    <t>Puanlamaya Esas RFF Tutarı</t>
  </si>
  <si>
    <t>İstihdam katkısı göstergesinin paydasında kullanılan, puanlamaya esas RFF tutarını USD olarak giriniz. Toplam yatırım maliyetiyle karıştırmayınız.</t>
  </si>
  <si>
    <t>İl / İlçe</t>
  </si>
  <si>
    <t>Başvuru sahibinin yatırım yerini resmî kayıtlardaki yazımla giriniz.</t>
  </si>
  <si>
    <t>2. KADIN / ERKEK İSTİHDAM KRİTERİ</t>
  </si>
  <si>
    <t>Son iki tamamlanmış takvim yılı kullanılır. 2027 tam başvuru aşamasında 2025 ve 2026 esas alınır.</t>
  </si>
  <si>
    <t>Hesaplama</t>
  </si>
  <si>
    <t>İki yılın ortalama toplam FTE'si 20'den fazla ve iki yılın toplam kadın FTE'si toplam erkek FTE'sinden fazlaysa kriter sağlanır ve 2,5 puan verilir.</t>
  </si>
  <si>
    <t>Veri kaynağı</t>
  </si>
  <si>
    <t>SGK aylık prim ve hizmet belgeleri, bordrolar ve personel listeleri esas alınır. Aynı kişi veya dönem iki kez sayılmaz.</t>
  </si>
  <si>
    <t>FTE yaklaşımı</t>
  </si>
  <si>
    <t>Kısmi süreli veya dönemsel çalışma, tam zamanlı çalışma süresine oranlanarak FTE'ye çevrilir. Kadın ve erkek toplamı yıllık toplam FTE ile uyumlu olmalıdır.</t>
  </si>
  <si>
    <t>3. NET EK İSTİHDAM PUANLAMASI</t>
  </si>
  <si>
    <t>Gösterge</t>
  </si>
  <si>
    <t>Net ek FTE / (Puanlamaya Esas RFF Tutarı / 100.000 USD).</t>
  </si>
  <si>
    <t>Puan bantları</t>
  </si>
  <si>
    <t>0,25'in altı: 0 puan; 0,25–&lt;0,50: 5 puan; 0,50–&lt;0,75: 10 puan; 0,75–&lt;1,00: 15 puan; 1,00 ve üzeri: 20 puan.</t>
  </si>
  <si>
    <t>Bu formdan gelen puan</t>
  </si>
  <si>
    <t>Net ek istihdam puanı ile kadın istihdam kriter puanının toplamıdır; azami 22,5 puandır. Diğer sıralama boyutları bu formun dışındadır.</t>
  </si>
  <si>
    <t>4. BİLEŞEN 1 — 2026 GERÇEKLEŞEN VE 2027 PLANLANAN İSTİHDAM</t>
  </si>
  <si>
    <t>2026 mevcut FTE</t>
  </si>
  <si>
    <t>2026 yılına ait gerçekleşmiş yıllık ortalama FTE'yi giriniz. Kısmi süreli veya dönemsel çalışma, tam zamanlı çalışma süresine oranlanarak FTE'ye çevrilmelidir.</t>
  </si>
  <si>
    <t>Mevcut / ilk ücret bilgisi</t>
  </si>
  <si>
    <t>2026 yılına ait mevcut veya ilk aylık ortalama brüt ücreti veri amacıyla giriniz. Bu bilgi sonuç, gösterge veya puan hesaplamasında kullanılmaz.</t>
  </si>
  <si>
    <t>2027 planlanan FTE</t>
  </si>
  <si>
    <t>2027 için yalnız planlanan net ek FTE'yi giriniz. Yıl sonunda ulaşılacak kişi sayısını değil, yıl içindeki çalışma süreleri dikkate alınarak hesaplanan yıllık ortalama FTE'yi yazınız.</t>
  </si>
  <si>
    <t>Planlanan iş eşdeğeri</t>
  </si>
  <si>
    <t>Başvuru aşaması planlanan iş eşdeğeri, toplam planlanan net ek FTE'nin sıfırın altına düşmeyen kısmıdır: maks. (0; toplam net ek FTE).</t>
  </si>
  <si>
    <t>Kadın ve genç göstergeleri</t>
  </si>
  <si>
    <t>Kadın ve genç iş eşdeğerleri, ilgili satırlardaki planlanan net ek FTE toplamlarından hesaplanır. Ücret bilgisi bu alt göstergeleri de etkilemez.</t>
  </si>
  <si>
    <t>Hesaplama sınırı</t>
  </si>
  <si>
    <t>Gelecekte ödenecek ücret tahmin edilmediği için form ücret artışına dayalı 'daha iyi işler' bileşenini ölçmez. Gösterilen değer nihai PAD MBJ sonucu değildir.</t>
  </si>
  <si>
    <t>5. ÖZEL DURUMLAR VE DAYANAK BELGELER</t>
  </si>
  <si>
    <t>Yeni işletme</t>
  </si>
  <si>
    <t>2026 gerçekleşen FTE alanına 0 giriniz. Mevcut/ilk ücret bilgisi yoksa ücret alanını boş bırakınız. 2027 planlanan net ek FTE, başvuru aşaması planlanan iş eşdeğerini oluşturur.</t>
  </si>
  <si>
    <t>Önerilen belgeler</t>
  </si>
  <si>
    <t>2026 FTE ve mevcut/ilk ücret için SGK hizmet dökümü, bordro ve banka ücret ödeme kayıtları; 2027 istihdam planı için organizasyon şeması, görev/personel planı ve işe alım takvimi kullanılabilir.</t>
  </si>
  <si>
    <t>Başvuru aşaması sınırı</t>
  </si>
  <si>
    <t>Hesaplanan değer yalnız başvuru aşamasındaki net ek FTE planını gösterir. Yatırım 2027'de tam faaliyete geçmeyecekse 2027 yerine yatırım sonrasındaki ilk tam faaliyet yılına ait plan kullanılmalıdır.</t>
  </si>
  <si>
    <t>Sürüm: 28.09.2026 | Yöntem: Ücret bilgisi veri amaçlıdır ve hesaplamaya dahil edilmez.</t>
  </si>
  <si>
    <t>Mevcut Durumu Gösteren Belge (SGK dökümü)</t>
  </si>
  <si>
    <t>Mevcut Toplam Tam Zamanlı İstihdam</t>
  </si>
  <si>
    <t>Kadın Tam Zamanlı İstihdam</t>
  </si>
  <si>
    <t>Erkek Tam Zamanlı İstihdam</t>
  </si>
  <si>
    <t>Toplam Tam Zamanlı İstihdam</t>
  </si>
  <si>
    <t>Yalnızca bilgilendirme: ilgili yılda toplam Tam Zamanlı İstihdam &gt; 20 ve kadın Tam Zamanlı İstihdam &gt; erkek Tam Zamanlı İstihdam ise EVET.</t>
  </si>
  <si>
    <t>Son iki tamamlanmış yılın ortalama toplam Tam Zamanlı İstihdam'si 20'den fazla ve iki yılın toplam kadın Tam Zamanlı İstihdam'si toplam erkek Tam Zamanlı İstihdam'sinden fazlaysa 2,5 puan.</t>
  </si>
  <si>
    <t>Planlanan Net Ek Tam Zamanlı İstihdam</t>
  </si>
  <si>
    <t>Planlanan Ek Kadın Tam Zamanlı İstihdam</t>
  </si>
  <si>
    <t>Başvuru Aşaması Planlanan İş Eşdeğeri (Net Ek Tam Zamanlı İstihdam)</t>
  </si>
  <si>
    <t>Başvuru aşaması planlanan iş eşdeğeri = maks. (0; toplam planlanan net ek Tam Zamanlı İstihdam). Mevcut/ilk ücret bilgisi yalnız veri amacıyla alınır ve hesaplamaya dahil edilmez. Bu değer ücret artışını ölçmediğinden nihai PAD MBJ sonucu değildir.</t>
  </si>
  <si>
    <t>2026 Gerçekleşen Ortalama Tam Zamanlı İstihdam</t>
  </si>
  <si>
    <t>D. BİLEŞEN 1 İSTİHDAM PLANI — 2026 GERÇEKLEŞEN VE  PLANLANAN DURUM</t>
  </si>
  <si>
    <t>E. 2026 GERÇEKLEŞEN DURUMU VE  İSTİHDAM PLANININ DAYANAKLARI</t>
  </si>
  <si>
    <t>2026 gerçekleşen Tam Zamanlı İstihdam ve mevcut/ilk ücret bilgilerinin kaynaklarını;  planlanan istihdamın yatırımla bağını ve işe alım takvimini açıklayınız. Gelecek dönem ücret tahmini bu formda istenmez.</t>
  </si>
  <si>
    <t>Bu formda yer alan 2026 gerçekleşen ve  planlanan istihdam bilgilerinin doğru olduğunu; mevcut/ilk ücret bilgisinin yalnız veri amacıyla sunulduğunu ve dayanak belgelerle açıklanabileceğini beyan ederiz.</t>
  </si>
  <si>
    <t>Planlanan Ek Genç Tam Zamanlı İstihdam</t>
  </si>
  <si>
    <t>2026 gerçekleşen yıllık ortalama Tam Zamanlı İstihdam ile mevcut aylık ortalama brüt ücreti ve planlanan net ek Tam Zamanlı İstihdam verisi girilmelidir.</t>
  </si>
  <si>
    <t xml:space="preserve">Sarı hücreler başvuru sahibi tarafından doldurulur; mavi/yeşil hücreler otomatik hesaplanır. </t>
  </si>
  <si>
    <t>TAM ZAMANLI İSTİHDAM FORMU (2026–)</t>
  </si>
  <si>
    <t>90.000 AVRO Başına Net Ek Tam Zamanlı İstihdam</t>
  </si>
  <si>
    <t>Talep Edilen Kredi Tutarı (AVRO)</t>
  </si>
  <si>
    <t>Planlanan Toplam Tam Zamanlı İstihdam</t>
  </si>
  <si>
    <t>2026 Mevcut Ortalama Brüt Ücret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</si>
</sst>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name val="Carlito"/>
    </font>
    <font>
      <sz val="10"/>
      <color rgb="FF1F2937"/>
      <name val="Arial"/>
    </font>
    <font>
      <b/>
      <sz val="14"/>
      <color rgb="FFFFFFFF"/>
      <name val="Arial"/>
    </font>
    <font>
      <i/>
      <sz val="9"/>
      <color rgb="FF355D7A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i/>
      <sz val="10"/>
      <color rgb="FF355D7A"/>
      <name val="Arial"/>
    </font>
    <font>
      <i/>
      <sz val="10"/>
      <color rgb="FF5C4B3C"/>
      <name val="Arial"/>
    </font>
    <font>
      <i/>
      <sz val="10"/>
      <color rgb="FF5B6472"/>
      <name val="Arial"/>
    </font>
    <font>
      <sz val="11"/>
      <name val="Carlito"/>
    </font>
    <font>
      <i/>
      <sz val="9"/>
      <color rgb="FF355D7A"/>
      <name val="Arial"/>
      <family val="2"/>
      <charset val="162"/>
    </font>
    <font>
      <b/>
      <sz val="10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9DC3E6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A6B7C6"/>
      </left>
      <right style="thin">
        <color rgb="FFA6B7C6"/>
      </right>
      <top style="thin">
        <color rgb="FFA6B7C6"/>
      </top>
      <bottom style="thin">
        <color rgb="FFA6B7C6"/>
      </bottom>
      <diagonal/>
    </border>
    <border>
      <left style="thin">
        <color rgb="FFA6B7C6"/>
      </left>
      <right/>
      <top style="thin">
        <color rgb="FFA6B7C6"/>
      </top>
      <bottom style="thin">
        <color rgb="FFA6B7C6"/>
      </bottom>
      <diagonal/>
    </border>
    <border>
      <left/>
      <right/>
      <top style="thin">
        <color rgb="FFA6B7C6"/>
      </top>
      <bottom style="thin">
        <color rgb="FFA6B7C6"/>
      </bottom>
      <diagonal/>
    </border>
    <border>
      <left style="thin">
        <color rgb="FFA6B7C6"/>
      </left>
      <right/>
      <top style="thin">
        <color rgb="FFA6B7C6"/>
      </top>
      <bottom/>
      <diagonal/>
    </border>
    <border>
      <left/>
      <right/>
      <top style="thin">
        <color rgb="FFA6B7C6"/>
      </top>
      <bottom/>
      <diagonal/>
    </border>
    <border>
      <left style="thin">
        <color rgb="FFA6B7C6"/>
      </left>
      <right/>
      <top/>
      <bottom/>
      <diagonal/>
    </border>
    <border>
      <left style="thin">
        <color rgb="FFA6B7C6"/>
      </left>
      <right/>
      <top/>
      <bottom style="thin">
        <color rgb="FFA6B7C6"/>
      </bottom>
      <diagonal/>
    </border>
    <border>
      <left/>
      <right/>
      <top/>
      <bottom style="thin">
        <color rgb="FFA6B7C6"/>
      </bottom>
      <diagonal/>
    </border>
    <border>
      <left style="thin">
        <color rgb="FFA6B7C6"/>
      </left>
      <right/>
      <top style="thin">
        <color rgb="FFA6B7C6"/>
      </top>
      <bottom style="thin">
        <color rgb="FF0F766E"/>
      </bottom>
      <diagonal/>
    </border>
    <border>
      <left/>
      <right style="thin">
        <color rgb="FFA6B7C6"/>
      </right>
      <top style="thin">
        <color rgb="FFA6B7C6"/>
      </top>
      <bottom style="thin">
        <color rgb="FF0F766E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vertical="center"/>
    </xf>
    <xf numFmtId="2" fontId="1" fillId="6" borderId="4" xfId="0" applyNumberFormat="1" applyFont="1" applyFill="1" applyBorder="1" applyAlignment="1">
      <alignment vertical="center"/>
    </xf>
    <xf numFmtId="2" fontId="1" fillId="7" borderId="4" xfId="0" applyNumberFormat="1" applyFont="1" applyFill="1" applyBorder="1" applyAlignment="1">
      <alignment vertical="center"/>
    </xf>
    <xf numFmtId="0" fontId="1" fillId="7" borderId="4" xfId="0" applyNumberFormat="1" applyFont="1" applyFill="1" applyBorder="1" applyAlignment="1">
      <alignment vertical="center"/>
    </xf>
    <xf numFmtId="2" fontId="5" fillId="7" borderId="4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vertical="center" wrapText="1"/>
    </xf>
    <xf numFmtId="0" fontId="1" fillId="6" borderId="4" xfId="0" applyNumberFormat="1" applyFon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1" fillId="9" borderId="4" xfId="0" applyNumberFormat="1" applyFont="1" applyFill="1" applyBorder="1" applyAlignment="1">
      <alignment horizontal="center" vertical="center"/>
    </xf>
    <xf numFmtId="4" fontId="1" fillId="6" borderId="4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4" fillId="4" borderId="3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vertical="center"/>
    </xf>
    <xf numFmtId="0" fontId="1" fillId="6" borderId="4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vertical="center"/>
    </xf>
    <xf numFmtId="0" fontId="5" fillId="7" borderId="4" xfId="0" applyNumberFormat="1" applyFont="1" applyFill="1" applyBorder="1" applyAlignment="1">
      <alignment vertical="center"/>
    </xf>
    <xf numFmtId="0" fontId="5" fillId="8" borderId="4" xfId="0" applyNumberFormat="1" applyFont="1" applyFill="1" applyBorder="1" applyAlignment="1">
      <alignment vertical="center"/>
    </xf>
    <xf numFmtId="0" fontId="7" fillId="8" borderId="5" xfId="0" applyNumberFormat="1" applyFont="1" applyFill="1" applyBorder="1" applyAlignment="1">
      <alignment vertical="center" wrapText="1"/>
    </xf>
    <xf numFmtId="0" fontId="7" fillId="8" borderId="6" xfId="0" applyNumberFormat="1" applyFont="1" applyFill="1" applyBorder="1" applyAlignment="1">
      <alignment vertical="center" wrapText="1"/>
    </xf>
    <xf numFmtId="0" fontId="6" fillId="3" borderId="0" xfId="0" applyNumberFormat="1" applyFont="1" applyFill="1" applyBorder="1" applyAlignment="1">
      <alignment vertical="center"/>
    </xf>
    <xf numFmtId="0" fontId="1" fillId="6" borderId="4" xfId="0" applyNumberFormat="1" applyFont="1" applyFill="1" applyBorder="1" applyAlignment="1">
      <alignment horizontal="left"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1" fillId="6" borderId="7" xfId="0" applyNumberFormat="1" applyFont="1" applyFill="1" applyBorder="1" applyAlignment="1">
      <alignment vertical="top" wrapText="1"/>
    </xf>
    <xf numFmtId="0" fontId="1" fillId="6" borderId="8" xfId="0" applyNumberFormat="1" applyFont="1" applyFill="1" applyBorder="1" applyAlignment="1">
      <alignment vertical="top" wrapText="1"/>
    </xf>
    <xf numFmtId="0" fontId="1" fillId="6" borderId="9" xfId="0" applyNumberFormat="1" applyFont="1" applyFill="1" applyBorder="1" applyAlignment="1">
      <alignment vertical="top" wrapText="1"/>
    </xf>
    <xf numFmtId="0" fontId="1" fillId="6" borderId="0" xfId="0" applyNumberFormat="1" applyFont="1" applyFill="1" applyBorder="1" applyAlignment="1">
      <alignment vertical="top" wrapText="1"/>
    </xf>
    <xf numFmtId="0" fontId="1" fillId="6" borderId="10" xfId="0" applyNumberFormat="1" applyFont="1" applyFill="1" applyBorder="1" applyAlignment="1">
      <alignment vertical="top" wrapText="1"/>
    </xf>
    <xf numFmtId="0" fontId="1" fillId="6" borderId="11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center" wrapText="1"/>
    </xf>
    <xf numFmtId="0" fontId="1" fillId="10" borderId="4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 applyAlignment="1">
      <alignment horizontal="right" vertical="center"/>
    </xf>
    <xf numFmtId="2" fontId="5" fillId="7" borderId="4" xfId="0" applyNumberFormat="1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left" vertical="center"/>
    </xf>
    <xf numFmtId="2" fontId="1" fillId="7" borderId="12" xfId="0" applyNumberFormat="1" applyFont="1" applyFill="1" applyBorder="1" applyAlignment="1">
      <alignment horizontal="center" vertical="center"/>
    </xf>
    <xf numFmtId="2" fontId="1" fillId="7" borderId="13" xfId="0" applyNumberFormat="1" applyFont="1" applyFill="1" applyBorder="1" applyAlignment="1">
      <alignment horizontal="center" vertical="center"/>
    </xf>
    <xf numFmtId="43" fontId="1" fillId="7" borderId="12" xfId="1" applyFont="1" applyFill="1" applyBorder="1" applyAlignment="1">
      <alignment horizontal="center" vertical="center"/>
    </xf>
    <xf numFmtId="43" fontId="1" fillId="7" borderId="13" xfId="1" applyFont="1" applyFill="1" applyBorder="1" applyAlignment="1">
      <alignment horizontal="center" vertical="center"/>
    </xf>
    <xf numFmtId="0" fontId="10" fillId="3" borderId="0" xfId="0" applyNumberFormat="1" applyFont="1" applyFill="1" applyBorder="1" applyAlignment="1">
      <alignment horizontal="left" vertical="center"/>
    </xf>
    <xf numFmtId="0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workbookViewId="0">
      <pane ySplit="2" topLeftCell="A3" activePane="bottomLeft" state="frozen"/>
      <selection pane="bottomLeft" activeCell="C5" sqref="C5:D5"/>
    </sheetView>
  </sheetViews>
  <sheetFormatPr defaultRowHeight="14.25"/>
  <cols>
    <col min="1" max="1" width="15" customWidth="1"/>
    <col min="2" max="2" width="20" customWidth="1"/>
    <col min="3" max="3" width="12" customWidth="1"/>
    <col min="4" max="5" width="15" customWidth="1"/>
    <col min="6" max="6" width="13" customWidth="1"/>
    <col min="7" max="7" width="15" customWidth="1"/>
    <col min="8" max="8" width="16" customWidth="1"/>
    <col min="9" max="10" width="15" customWidth="1"/>
    <col min="11" max="11" width="24" customWidth="1"/>
    <col min="12" max="12" width="16" customWidth="1"/>
  </cols>
  <sheetData>
    <row r="1" spans="1:12" ht="30" customHeight="1">
      <c r="A1" s="14" t="s">
        <v>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4.95" customHeight="1">
      <c r="A2" s="45" t="s">
        <v>93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5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29.25" customHeight="1">
      <c r="A5" s="18" t="s">
        <v>1</v>
      </c>
      <c r="B5" s="18"/>
      <c r="C5" s="41"/>
      <c r="D5" s="42"/>
      <c r="E5" s="41"/>
      <c r="F5" s="42"/>
      <c r="G5" s="18" t="s">
        <v>2</v>
      </c>
      <c r="H5" s="18"/>
      <c r="I5" s="41"/>
      <c r="J5" s="42"/>
      <c r="K5" s="41"/>
      <c r="L5" s="42"/>
    </row>
    <row r="6" spans="1:12" ht="30" customHeight="1">
      <c r="A6" s="18" t="s">
        <v>3</v>
      </c>
      <c r="B6" s="18"/>
      <c r="C6" s="41"/>
      <c r="D6" s="42"/>
      <c r="E6" s="18" t="s">
        <v>4</v>
      </c>
      <c r="F6" s="18"/>
      <c r="G6" s="41"/>
      <c r="H6" s="42"/>
      <c r="I6" s="18" t="s">
        <v>96</v>
      </c>
      <c r="J6" s="18"/>
      <c r="K6" s="43">
        <v>1500000</v>
      </c>
      <c r="L6" s="44"/>
    </row>
    <row r="7" spans="1:12" ht="30" customHeight="1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49.5" customHeight="1">
      <c r="A8" s="3" t="s">
        <v>6</v>
      </c>
      <c r="B8" s="3" t="s">
        <v>77</v>
      </c>
      <c r="C8" s="3" t="s">
        <v>78</v>
      </c>
      <c r="D8" s="3" t="s">
        <v>79</v>
      </c>
      <c r="E8" s="3" t="s">
        <v>7</v>
      </c>
      <c r="F8" s="20" t="s">
        <v>8</v>
      </c>
      <c r="G8" s="20"/>
      <c r="H8" s="20"/>
      <c r="I8" s="20"/>
      <c r="J8" s="20"/>
      <c r="K8" s="20"/>
      <c r="L8" s="20"/>
    </row>
    <row r="9" spans="1:12">
      <c r="A9" s="4">
        <v>2025</v>
      </c>
      <c r="B9" s="5">
        <v>35</v>
      </c>
      <c r="C9" s="5">
        <v>15</v>
      </c>
      <c r="D9" s="6">
        <f>SUM(B9:C9)</f>
        <v>50</v>
      </c>
      <c r="E9" s="7" t="str">
        <f>IF(AND(D9&gt;20,B9&gt;C9),"EVET","HAYIR")</f>
        <v>EVET</v>
      </c>
      <c r="F9" s="21" t="s">
        <v>80</v>
      </c>
      <c r="G9" s="21"/>
      <c r="H9" s="21"/>
      <c r="I9" s="21"/>
      <c r="J9" s="21"/>
      <c r="K9" s="21"/>
      <c r="L9" s="21"/>
    </row>
    <row r="10" spans="1:12">
      <c r="A10" s="4">
        <v>2026</v>
      </c>
      <c r="B10" s="5">
        <v>40</v>
      </c>
      <c r="C10" s="5">
        <v>45</v>
      </c>
      <c r="D10" s="6">
        <f>SUM(B10:C10)</f>
        <v>85</v>
      </c>
      <c r="E10" s="7" t="str">
        <f>IF(AND(D10&gt;20,B10&gt;C10),"EVET","HAYIR")</f>
        <v>HAYIR</v>
      </c>
      <c r="F10" s="21" t="s">
        <v>9</v>
      </c>
      <c r="G10" s="21"/>
      <c r="H10" s="21"/>
      <c r="I10" s="21"/>
      <c r="J10" s="21"/>
      <c r="K10" s="21"/>
      <c r="L10" s="21"/>
    </row>
    <row r="11" spans="1:12">
      <c r="A11" s="2" t="s">
        <v>10</v>
      </c>
      <c r="B11" s="22" t="str">
        <f>IF(AND(AVERAGE(D9:D10)&gt;20,SUM(B9:B10)&gt;SUM(C9:C10)),"SAĞLANIYOR","SAĞLANMIYOR")</f>
        <v>SAĞLANIYOR</v>
      </c>
      <c r="C11" s="22"/>
      <c r="D11" s="2" t="s">
        <v>11</v>
      </c>
      <c r="E11" s="8">
        <f>IF(B11="SAĞLANIYOR",2.5,0)</f>
        <v>2.5</v>
      </c>
      <c r="F11" s="23" t="s">
        <v>81</v>
      </c>
      <c r="G11" s="23"/>
      <c r="H11" s="23"/>
      <c r="I11" s="23"/>
      <c r="J11" s="23"/>
      <c r="K11" s="23"/>
      <c r="L11" s="23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5" t="s">
        <v>12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48" customHeight="1">
      <c r="A15" s="9" t="s">
        <v>76</v>
      </c>
      <c r="B15" s="38">
        <f>SUM(E22:E36)</f>
        <v>32</v>
      </c>
      <c r="C15" s="39" t="s">
        <v>82</v>
      </c>
      <c r="D15" s="38">
        <f>SUM(F22:F36)</f>
        <v>52</v>
      </c>
      <c r="E15" s="39" t="s">
        <v>95</v>
      </c>
      <c r="F15" s="38">
        <f>IF(OR(K6="",K6=0),"",D15/(K6/90000))</f>
        <v>3.1199999999999997</v>
      </c>
      <c r="G15" s="39" t="s">
        <v>83</v>
      </c>
      <c r="H15" s="38">
        <f>SUMIF(C22:C36,"Kadın",F22:F36)</f>
        <v>24</v>
      </c>
      <c r="I15" s="39" t="s">
        <v>91</v>
      </c>
      <c r="J15" s="38">
        <f>SUMIF(D22:D36,"Genç",F22:F36)</f>
        <v>40</v>
      </c>
      <c r="K15" s="39" t="s">
        <v>84</v>
      </c>
      <c r="L15" s="38">
        <f>IF(COUNT(D15)&lt;1,"",MAX(0,D15))</f>
        <v>52</v>
      </c>
    </row>
    <row r="16" spans="1:12" ht="48" customHeight="1">
      <c r="A16" s="9" t="s">
        <v>13</v>
      </c>
      <c r="B16" s="38" t="str">
        <f>IF(F15="","",IF(F15&gt;=0.25,"SAĞLANIYOR","SAĞLANMIYOR"))</f>
        <v>SAĞLANIYOR</v>
      </c>
      <c r="C16" s="39" t="s">
        <v>14</v>
      </c>
      <c r="D16" s="38">
        <f>IF(F15="","",IF(F15&lt;0.25,0,IF(F15&lt;0.5,5,IF(F15&lt;0.75,10,IF(F15&lt;1,15,20)))))</f>
        <v>20</v>
      </c>
      <c r="E16" s="39" t="s">
        <v>15</v>
      </c>
      <c r="F16" s="38">
        <f>E11</f>
        <v>2.5</v>
      </c>
      <c r="G16" s="39" t="s">
        <v>16</v>
      </c>
      <c r="H16" s="38">
        <f>IF(OR(D16="",F16=""),"",SUM(D16,F16))</f>
        <v>22.5</v>
      </c>
      <c r="I16" s="39" t="s">
        <v>17</v>
      </c>
      <c r="J16" s="38">
        <f>IF(COUNT(H15)&lt;1,"",MAX(0,H15))</f>
        <v>24</v>
      </c>
      <c r="K16" s="39" t="s">
        <v>18</v>
      </c>
      <c r="L16" s="38">
        <f>IF(COUNT(J15)&lt;1,"",MAX(0,J15))</f>
        <v>40</v>
      </c>
    </row>
    <row r="17" spans="1:12" ht="30" customHeight="1">
      <c r="A17" s="24" t="s">
        <v>85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5" t="s">
        <v>87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7.95" customHeight="1">
      <c r="A20" s="26" t="s">
        <v>92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2" ht="75.95" customHeight="1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86</v>
      </c>
      <c r="F21" s="3" t="s">
        <v>82</v>
      </c>
      <c r="G21" s="3" t="s">
        <v>97</v>
      </c>
      <c r="H21" s="46" t="s">
        <v>98</v>
      </c>
      <c r="I21" s="47" t="s">
        <v>75</v>
      </c>
      <c r="J21" s="20"/>
      <c r="K21" s="20"/>
      <c r="L21" s="20"/>
    </row>
    <row r="22" spans="1:12" ht="27.95" customHeight="1">
      <c r="A22" s="10"/>
      <c r="B22" s="10"/>
      <c r="C22" s="10" t="s">
        <v>23</v>
      </c>
      <c r="D22" s="10" t="s">
        <v>24</v>
      </c>
      <c r="E22" s="11">
        <v>10</v>
      </c>
      <c r="F22" s="11">
        <v>12</v>
      </c>
      <c r="G22" s="38">
        <f t="shared" ref="G22:G36" si="0">IF(COUNT(E22:F22)=0,"",SUM(E22:F22))</f>
        <v>22</v>
      </c>
      <c r="H22" s="13">
        <v>100000</v>
      </c>
      <c r="I22" s="27"/>
      <c r="J22" s="27"/>
      <c r="K22" s="27"/>
      <c r="L22" s="27"/>
    </row>
    <row r="23" spans="1:12" ht="27.95" customHeight="1">
      <c r="A23" s="10"/>
      <c r="B23" s="10"/>
      <c r="C23" s="10" t="s">
        <v>25</v>
      </c>
      <c r="D23" s="10" t="s">
        <v>26</v>
      </c>
      <c r="E23" s="11">
        <v>12</v>
      </c>
      <c r="F23" s="11">
        <v>14</v>
      </c>
      <c r="G23" s="38">
        <f t="shared" si="0"/>
        <v>26</v>
      </c>
      <c r="H23" s="13">
        <v>120000</v>
      </c>
      <c r="I23" s="27"/>
      <c r="J23" s="27"/>
      <c r="K23" s="27"/>
      <c r="L23" s="27"/>
    </row>
    <row r="24" spans="1:12" ht="27.95" customHeight="1">
      <c r="A24" s="10"/>
      <c r="B24" s="10"/>
      <c r="C24" s="10" t="s">
        <v>23</v>
      </c>
      <c r="D24" s="10" t="s">
        <v>26</v>
      </c>
      <c r="E24" s="11">
        <v>8</v>
      </c>
      <c r="F24" s="11">
        <v>16</v>
      </c>
      <c r="G24" s="38">
        <f t="shared" si="0"/>
        <v>24</v>
      </c>
      <c r="H24" s="13">
        <v>100000</v>
      </c>
      <c r="I24" s="27"/>
      <c r="J24" s="27"/>
      <c r="K24" s="27"/>
      <c r="L24" s="27"/>
    </row>
    <row r="25" spans="1:12" ht="27.95" customHeight="1">
      <c r="A25" s="10"/>
      <c r="B25" s="10"/>
      <c r="C25" s="10" t="s">
        <v>25</v>
      </c>
      <c r="D25" s="10" t="s">
        <v>24</v>
      </c>
      <c r="E25" s="11">
        <v>2</v>
      </c>
      <c r="F25" s="11">
        <v>0</v>
      </c>
      <c r="G25" s="38">
        <f t="shared" si="0"/>
        <v>2</v>
      </c>
      <c r="H25" s="13">
        <v>80000</v>
      </c>
      <c r="I25" s="27"/>
      <c r="J25" s="27"/>
      <c r="K25" s="27"/>
      <c r="L25" s="27"/>
    </row>
    <row r="26" spans="1:12" ht="27.95" customHeight="1">
      <c r="A26" s="10"/>
      <c r="B26" s="10"/>
      <c r="C26" s="10" t="s">
        <v>25</v>
      </c>
      <c r="D26" s="10" t="s">
        <v>26</v>
      </c>
      <c r="E26" s="11">
        <v>0</v>
      </c>
      <c r="F26" s="11">
        <v>10</v>
      </c>
      <c r="G26" s="38">
        <f t="shared" si="0"/>
        <v>10</v>
      </c>
      <c r="H26" s="13">
        <v>0</v>
      </c>
      <c r="I26" s="27"/>
      <c r="J26" s="27"/>
      <c r="K26" s="27"/>
      <c r="L26" s="27"/>
    </row>
    <row r="27" spans="1:12" ht="27.95" customHeight="1">
      <c r="A27" s="10"/>
      <c r="B27" s="10"/>
      <c r="C27" s="10"/>
      <c r="D27" s="10"/>
      <c r="E27" s="11"/>
      <c r="F27" s="11"/>
      <c r="G27" s="12" t="str">
        <f t="shared" si="0"/>
        <v/>
      </c>
      <c r="H27" s="13"/>
      <c r="I27" s="27"/>
      <c r="J27" s="27"/>
      <c r="K27" s="27"/>
      <c r="L27" s="27"/>
    </row>
    <row r="28" spans="1:12" ht="27.95" customHeight="1">
      <c r="A28" s="10"/>
      <c r="B28" s="10"/>
      <c r="C28" s="10"/>
      <c r="D28" s="10"/>
      <c r="E28" s="11"/>
      <c r="F28" s="11"/>
      <c r="G28" s="12" t="str">
        <f t="shared" si="0"/>
        <v/>
      </c>
      <c r="H28" s="13"/>
      <c r="I28" s="27"/>
      <c r="J28" s="27"/>
      <c r="K28" s="27"/>
      <c r="L28" s="27"/>
    </row>
    <row r="29" spans="1:12" ht="27.95" customHeight="1">
      <c r="A29" s="10"/>
      <c r="B29" s="10"/>
      <c r="C29" s="10"/>
      <c r="D29" s="10"/>
      <c r="E29" s="11"/>
      <c r="F29" s="11"/>
      <c r="G29" s="12" t="str">
        <f t="shared" si="0"/>
        <v/>
      </c>
      <c r="H29" s="13"/>
      <c r="I29" s="27"/>
      <c r="J29" s="27"/>
      <c r="K29" s="27"/>
      <c r="L29" s="27"/>
    </row>
    <row r="30" spans="1:12" ht="27.95" customHeight="1">
      <c r="A30" s="10"/>
      <c r="B30" s="10"/>
      <c r="C30" s="10"/>
      <c r="D30" s="10"/>
      <c r="E30" s="11"/>
      <c r="F30" s="11"/>
      <c r="G30" s="12" t="str">
        <f t="shared" si="0"/>
        <v/>
      </c>
      <c r="H30" s="13"/>
      <c r="I30" s="27"/>
      <c r="J30" s="27"/>
      <c r="K30" s="27"/>
      <c r="L30" s="27"/>
    </row>
    <row r="31" spans="1:12" ht="27.95" customHeight="1">
      <c r="A31" s="10"/>
      <c r="B31" s="10"/>
      <c r="C31" s="10"/>
      <c r="D31" s="10"/>
      <c r="E31" s="11"/>
      <c r="F31" s="11"/>
      <c r="G31" s="12" t="str">
        <f t="shared" si="0"/>
        <v/>
      </c>
      <c r="H31" s="13"/>
      <c r="I31" s="27"/>
      <c r="J31" s="27"/>
      <c r="K31" s="27"/>
      <c r="L31" s="27"/>
    </row>
    <row r="32" spans="1:12" ht="27.95" customHeight="1">
      <c r="A32" s="10"/>
      <c r="B32" s="10"/>
      <c r="C32" s="10"/>
      <c r="D32" s="10"/>
      <c r="E32" s="11"/>
      <c r="F32" s="11"/>
      <c r="G32" s="12" t="str">
        <f t="shared" si="0"/>
        <v/>
      </c>
      <c r="H32" s="13"/>
      <c r="I32" s="27"/>
      <c r="J32" s="27"/>
      <c r="K32" s="27"/>
      <c r="L32" s="27"/>
    </row>
    <row r="33" spans="1:12" ht="27.95" customHeight="1">
      <c r="A33" s="10"/>
      <c r="B33" s="10"/>
      <c r="C33" s="10"/>
      <c r="D33" s="10"/>
      <c r="E33" s="11"/>
      <c r="F33" s="11"/>
      <c r="G33" s="12" t="str">
        <f t="shared" si="0"/>
        <v/>
      </c>
      <c r="H33" s="13"/>
      <c r="I33" s="27"/>
      <c r="J33" s="27"/>
      <c r="K33" s="27"/>
      <c r="L33" s="27"/>
    </row>
    <row r="34" spans="1:12" ht="27.95" customHeight="1">
      <c r="A34" s="10"/>
      <c r="B34" s="10"/>
      <c r="C34" s="10"/>
      <c r="D34" s="10"/>
      <c r="E34" s="11"/>
      <c r="F34" s="11"/>
      <c r="G34" s="12" t="str">
        <f t="shared" si="0"/>
        <v/>
      </c>
      <c r="H34" s="13"/>
      <c r="I34" s="27"/>
      <c r="J34" s="27"/>
      <c r="K34" s="27"/>
      <c r="L34" s="27"/>
    </row>
    <row r="35" spans="1:12" ht="27.95" customHeight="1">
      <c r="A35" s="10"/>
      <c r="B35" s="10"/>
      <c r="C35" s="10"/>
      <c r="D35" s="10"/>
      <c r="E35" s="11"/>
      <c r="F35" s="11"/>
      <c r="G35" s="12" t="str">
        <f t="shared" si="0"/>
        <v/>
      </c>
      <c r="H35" s="13"/>
      <c r="I35" s="27"/>
      <c r="J35" s="27"/>
      <c r="K35" s="27"/>
      <c r="L35" s="27"/>
    </row>
    <row r="36" spans="1:12" ht="27.95" customHeight="1">
      <c r="A36" s="10"/>
      <c r="B36" s="10"/>
      <c r="C36" s="10"/>
      <c r="D36" s="10"/>
      <c r="E36" s="11"/>
      <c r="F36" s="11"/>
      <c r="G36" s="12" t="str">
        <f t="shared" si="0"/>
        <v/>
      </c>
      <c r="H36" s="13"/>
      <c r="I36" s="27"/>
      <c r="J36" s="27"/>
      <c r="K36" s="27"/>
      <c r="L36" s="27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5" t="s">
        <v>88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ht="30" customHeight="1">
      <c r="A39" s="28" t="s">
        <v>89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spans="1:12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1:12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spans="1:12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5" t="s">
        <v>27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ht="32.1" customHeight="1">
      <c r="A46" s="35" t="s">
        <v>90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</row>
    <row r="47" spans="1:12">
      <c r="A47" s="18" t="s">
        <v>28</v>
      </c>
      <c r="B47" s="18"/>
      <c r="C47" s="18"/>
      <c r="D47" s="18"/>
      <c r="E47" s="18" t="s">
        <v>29</v>
      </c>
      <c r="F47" s="18"/>
      <c r="G47" s="18"/>
      <c r="H47" s="18" t="s">
        <v>30</v>
      </c>
      <c r="I47" s="18"/>
      <c r="J47" s="18"/>
      <c r="K47" s="18" t="s">
        <v>31</v>
      </c>
      <c r="L47" s="18"/>
    </row>
    <row r="48" spans="1:1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</sheetData>
  <mergeCells count="54">
    <mergeCell ref="A48:D49"/>
    <mergeCell ref="E48:G49"/>
    <mergeCell ref="H48:J49"/>
    <mergeCell ref="K48:L49"/>
    <mergeCell ref="I5:J5"/>
    <mergeCell ref="K5:L5"/>
    <mergeCell ref="C5:D5"/>
    <mergeCell ref="E5:F5"/>
    <mergeCell ref="A40:L43"/>
    <mergeCell ref="A45:L45"/>
    <mergeCell ref="A46:L46"/>
    <mergeCell ref="A47:D47"/>
    <mergeCell ref="E47:G47"/>
    <mergeCell ref="H47:J47"/>
    <mergeCell ref="K47:L47"/>
    <mergeCell ref="I34:L34"/>
    <mergeCell ref="I35:L35"/>
    <mergeCell ref="I36:L36"/>
    <mergeCell ref="A38:L38"/>
    <mergeCell ref="A39:L39"/>
    <mergeCell ref="I29:L29"/>
    <mergeCell ref="I30:L30"/>
    <mergeCell ref="I31:L31"/>
    <mergeCell ref="I32:L32"/>
    <mergeCell ref="I33:L33"/>
    <mergeCell ref="I24:L24"/>
    <mergeCell ref="I25:L25"/>
    <mergeCell ref="I26:L26"/>
    <mergeCell ref="I27:L27"/>
    <mergeCell ref="I28:L28"/>
    <mergeCell ref="A19:L19"/>
    <mergeCell ref="A20:L20"/>
    <mergeCell ref="I21:L21"/>
    <mergeCell ref="I22:L22"/>
    <mergeCell ref="I23:L23"/>
    <mergeCell ref="F10:L10"/>
    <mergeCell ref="B11:C11"/>
    <mergeCell ref="F11:L11"/>
    <mergeCell ref="A14:L14"/>
    <mergeCell ref="A17:L17"/>
    <mergeCell ref="K6:L6"/>
    <mergeCell ref="A7:L7"/>
    <mergeCell ref="F8:L8"/>
    <mergeCell ref="F9:L9"/>
    <mergeCell ref="A6:B6"/>
    <mergeCell ref="C6:D6"/>
    <mergeCell ref="E6:F6"/>
    <mergeCell ref="G6:H6"/>
    <mergeCell ref="I6:J6"/>
    <mergeCell ref="A1:L1"/>
    <mergeCell ref="A2:L2"/>
    <mergeCell ref="A4:L4"/>
    <mergeCell ref="A5:B5"/>
    <mergeCell ref="G5:H5"/>
  </mergeCells>
  <dataValidations count="2">
    <dataValidation type="list" sqref="C22:C36" xr:uid="{00000000-0002-0000-0000-000000000000}">
      <formula1>"Erkek,Kadın"</formula1>
    </dataValidation>
    <dataValidation type="list" sqref="D22:D36" xr:uid="{00000000-0002-0000-0000-000001000000}">
      <formula1>"Genç,40 yaş ve üstü"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workbookViewId="0">
      <pane ySplit="2" topLeftCell="A3" activePane="bottomLeft" state="frozen"/>
      <selection pane="bottomLeft" activeCell="C10" sqref="C10:H10"/>
    </sheetView>
  </sheetViews>
  <sheetFormatPr defaultRowHeight="14.25"/>
  <cols>
    <col min="1" max="1" width="24" customWidth="1"/>
    <col min="2" max="2" width="16" customWidth="1"/>
    <col min="3" max="8" width="17" customWidth="1"/>
  </cols>
  <sheetData>
    <row r="1" spans="1:8" ht="32.1" customHeight="1">
      <c r="A1" s="14" t="s">
        <v>32</v>
      </c>
      <c r="B1" s="14"/>
      <c r="C1" s="14"/>
      <c r="D1" s="14"/>
      <c r="E1" s="14"/>
      <c r="F1" s="14"/>
      <c r="G1" s="14"/>
      <c r="H1" s="14"/>
    </row>
    <row r="2" spans="1:8" ht="27.95" customHeight="1">
      <c r="A2" s="26" t="s">
        <v>33</v>
      </c>
      <c r="B2" s="26"/>
      <c r="C2" s="26"/>
      <c r="D2" s="26"/>
      <c r="E2" s="26"/>
      <c r="F2" s="26"/>
      <c r="G2" s="26"/>
      <c r="H2" s="26"/>
    </row>
    <row r="3" spans="1:8">
      <c r="A3" s="1"/>
      <c r="B3" s="1"/>
      <c r="C3" s="1"/>
      <c r="D3" s="1"/>
      <c r="E3" s="1"/>
      <c r="F3" s="1"/>
      <c r="G3" s="1"/>
      <c r="H3" s="1"/>
    </row>
    <row r="4" spans="1:8" ht="27.95" customHeight="1">
      <c r="A4" s="15" t="s">
        <v>34</v>
      </c>
      <c r="B4" s="16"/>
      <c r="C4" s="16"/>
      <c r="D4" s="16"/>
      <c r="E4" s="16"/>
      <c r="F4" s="16"/>
      <c r="G4" s="16"/>
      <c r="H4" s="17"/>
    </row>
    <row r="5" spans="1:8" ht="45.95" customHeight="1">
      <c r="A5" s="18" t="s">
        <v>35</v>
      </c>
      <c r="B5" s="18"/>
      <c r="C5" s="36" t="s">
        <v>36</v>
      </c>
      <c r="D5" s="36"/>
      <c r="E5" s="36"/>
      <c r="F5" s="36"/>
      <c r="G5" s="36"/>
      <c r="H5" s="36"/>
    </row>
    <row r="6" spans="1:8" ht="38.1" customHeight="1">
      <c r="A6" s="18" t="s">
        <v>37</v>
      </c>
      <c r="B6" s="18"/>
      <c r="C6" s="36" t="s">
        <v>38</v>
      </c>
      <c r="D6" s="36"/>
      <c r="E6" s="36"/>
      <c r="F6" s="36"/>
      <c r="G6" s="36"/>
      <c r="H6" s="36"/>
    </row>
    <row r="7" spans="1:8">
      <c r="A7" s="1"/>
      <c r="B7" s="1"/>
      <c r="C7" s="1"/>
      <c r="D7" s="1"/>
      <c r="E7" s="1"/>
      <c r="F7" s="1"/>
      <c r="G7" s="1"/>
      <c r="H7" s="1"/>
    </row>
    <row r="8" spans="1:8" ht="27.95" customHeight="1">
      <c r="A8" s="15" t="s">
        <v>39</v>
      </c>
      <c r="B8" s="16"/>
      <c r="C8" s="16"/>
      <c r="D8" s="16"/>
      <c r="E8" s="16"/>
      <c r="F8" s="16"/>
      <c r="G8" s="16"/>
      <c r="H8" s="17"/>
    </row>
    <row r="9" spans="1:8" ht="42" customHeight="1">
      <c r="A9" s="18" t="s">
        <v>6</v>
      </c>
      <c r="B9" s="18"/>
      <c r="C9" s="36" t="s">
        <v>40</v>
      </c>
      <c r="D9" s="36"/>
      <c r="E9" s="36"/>
      <c r="F9" s="36"/>
      <c r="G9" s="36"/>
      <c r="H9" s="36"/>
    </row>
    <row r="10" spans="1:8" ht="51.95" customHeight="1">
      <c r="A10" s="18" t="s">
        <v>41</v>
      </c>
      <c r="B10" s="18"/>
      <c r="C10" s="36" t="s">
        <v>42</v>
      </c>
      <c r="D10" s="36"/>
      <c r="E10" s="36"/>
      <c r="F10" s="36"/>
      <c r="G10" s="36"/>
      <c r="H10" s="36"/>
    </row>
    <row r="11" spans="1:8" ht="45.95" customHeight="1">
      <c r="A11" s="18" t="s">
        <v>43</v>
      </c>
      <c r="B11" s="18"/>
      <c r="C11" s="36" t="s">
        <v>44</v>
      </c>
      <c r="D11" s="36"/>
      <c r="E11" s="36"/>
      <c r="F11" s="36"/>
      <c r="G11" s="36"/>
      <c r="H11" s="36"/>
    </row>
    <row r="12" spans="1:8" ht="51.95" customHeight="1">
      <c r="A12" s="18" t="s">
        <v>45</v>
      </c>
      <c r="B12" s="18"/>
      <c r="C12" s="36" t="s">
        <v>46</v>
      </c>
      <c r="D12" s="36"/>
      <c r="E12" s="36"/>
      <c r="F12" s="36"/>
      <c r="G12" s="36"/>
      <c r="H12" s="36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27.95" customHeight="1">
      <c r="A14" s="15" t="s">
        <v>47</v>
      </c>
      <c r="B14" s="16"/>
      <c r="C14" s="16"/>
      <c r="D14" s="16"/>
      <c r="E14" s="16"/>
      <c r="F14" s="16"/>
      <c r="G14" s="16"/>
      <c r="H14" s="17"/>
    </row>
    <row r="15" spans="1:8" ht="42" customHeight="1">
      <c r="A15" s="18" t="s">
        <v>48</v>
      </c>
      <c r="B15" s="18"/>
      <c r="C15" s="36" t="s">
        <v>49</v>
      </c>
      <c r="D15" s="36"/>
      <c r="E15" s="36"/>
      <c r="F15" s="36"/>
      <c r="G15" s="36"/>
      <c r="H15" s="36"/>
    </row>
    <row r="16" spans="1:8" ht="48" customHeight="1">
      <c r="A16" s="18" t="s">
        <v>50</v>
      </c>
      <c r="B16" s="18"/>
      <c r="C16" s="36" t="s">
        <v>51</v>
      </c>
      <c r="D16" s="36"/>
      <c r="E16" s="36"/>
      <c r="F16" s="36"/>
      <c r="G16" s="36"/>
      <c r="H16" s="36"/>
    </row>
    <row r="17" spans="1:8" ht="48" customHeight="1">
      <c r="A17" s="18" t="s">
        <v>52</v>
      </c>
      <c r="B17" s="18"/>
      <c r="C17" s="36" t="s">
        <v>53</v>
      </c>
      <c r="D17" s="36"/>
      <c r="E17" s="36"/>
      <c r="F17" s="36"/>
      <c r="G17" s="36"/>
      <c r="H17" s="36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 ht="27.95" customHeight="1">
      <c r="A19" s="15" t="s">
        <v>54</v>
      </c>
      <c r="B19" s="16"/>
      <c r="C19" s="16"/>
      <c r="D19" s="16"/>
      <c r="E19" s="16"/>
      <c r="F19" s="16"/>
      <c r="G19" s="16"/>
      <c r="H19" s="17"/>
    </row>
    <row r="20" spans="1:8" ht="54" customHeight="1">
      <c r="A20" s="18" t="s">
        <v>55</v>
      </c>
      <c r="B20" s="18"/>
      <c r="C20" s="36" t="s">
        <v>56</v>
      </c>
      <c r="D20" s="36"/>
      <c r="E20" s="36"/>
      <c r="F20" s="36"/>
      <c r="G20" s="36"/>
      <c r="H20" s="36"/>
    </row>
    <row r="21" spans="1:8" ht="54" customHeight="1">
      <c r="A21" s="18" t="s">
        <v>57</v>
      </c>
      <c r="B21" s="18"/>
      <c r="C21" s="36" t="s">
        <v>58</v>
      </c>
      <c r="D21" s="36"/>
      <c r="E21" s="36"/>
      <c r="F21" s="36"/>
      <c r="G21" s="36"/>
      <c r="H21" s="36"/>
    </row>
    <row r="22" spans="1:8" ht="57.95" customHeight="1">
      <c r="A22" s="18" t="s">
        <v>59</v>
      </c>
      <c r="B22" s="18"/>
      <c r="C22" s="36" t="s">
        <v>60</v>
      </c>
      <c r="D22" s="36"/>
      <c r="E22" s="36"/>
      <c r="F22" s="36"/>
      <c r="G22" s="36"/>
      <c r="H22" s="36"/>
    </row>
    <row r="23" spans="1:8" ht="51.95" customHeight="1">
      <c r="A23" s="18" t="s">
        <v>61</v>
      </c>
      <c r="B23" s="18"/>
      <c r="C23" s="36" t="s">
        <v>62</v>
      </c>
      <c r="D23" s="36"/>
      <c r="E23" s="36"/>
      <c r="F23" s="36"/>
      <c r="G23" s="36"/>
      <c r="H23" s="36"/>
    </row>
    <row r="24" spans="1:8" ht="51.95" customHeight="1">
      <c r="A24" s="18" t="s">
        <v>63</v>
      </c>
      <c r="B24" s="18"/>
      <c r="C24" s="36" t="s">
        <v>64</v>
      </c>
      <c r="D24" s="36"/>
      <c r="E24" s="36"/>
      <c r="F24" s="36"/>
      <c r="G24" s="36"/>
      <c r="H24" s="36"/>
    </row>
    <row r="25" spans="1:8" ht="56.1" customHeight="1">
      <c r="A25" s="18" t="s">
        <v>65</v>
      </c>
      <c r="B25" s="18"/>
      <c r="C25" s="36" t="s">
        <v>66</v>
      </c>
      <c r="D25" s="36"/>
      <c r="E25" s="36"/>
      <c r="F25" s="36"/>
      <c r="G25" s="36"/>
      <c r="H25" s="36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 ht="27.95" customHeight="1">
      <c r="A27" s="15" t="s">
        <v>67</v>
      </c>
      <c r="B27" s="16"/>
      <c r="C27" s="16"/>
      <c r="D27" s="16"/>
      <c r="E27" s="16"/>
      <c r="F27" s="16"/>
      <c r="G27" s="16"/>
      <c r="H27" s="17"/>
    </row>
    <row r="28" spans="1:8" ht="57.95" customHeight="1">
      <c r="A28" s="18" t="s">
        <v>68</v>
      </c>
      <c r="B28" s="18"/>
      <c r="C28" s="36" t="s">
        <v>69</v>
      </c>
      <c r="D28" s="36"/>
      <c r="E28" s="36"/>
      <c r="F28" s="36"/>
      <c r="G28" s="36"/>
      <c r="H28" s="36"/>
    </row>
    <row r="29" spans="1:8" ht="60" customHeight="1">
      <c r="A29" s="18" t="s">
        <v>70</v>
      </c>
      <c r="B29" s="18"/>
      <c r="C29" s="36" t="s">
        <v>71</v>
      </c>
      <c r="D29" s="36"/>
      <c r="E29" s="36"/>
      <c r="F29" s="36"/>
      <c r="G29" s="36"/>
      <c r="H29" s="36"/>
    </row>
    <row r="30" spans="1:8" ht="60" customHeight="1">
      <c r="A30" s="18" t="s">
        <v>72</v>
      </c>
      <c r="B30" s="18"/>
      <c r="C30" s="36" t="s">
        <v>73</v>
      </c>
      <c r="D30" s="36"/>
      <c r="E30" s="36"/>
      <c r="F30" s="36"/>
      <c r="G30" s="36"/>
      <c r="H30" s="36"/>
    </row>
    <row r="31" spans="1:8" ht="24" customHeight="1">
      <c r="A31" s="37" t="s">
        <v>74</v>
      </c>
      <c r="B31" s="37"/>
      <c r="C31" s="37"/>
      <c r="D31" s="37"/>
      <c r="E31" s="37"/>
      <c r="F31" s="37"/>
      <c r="G31" s="37"/>
      <c r="H31" s="37"/>
    </row>
  </sheetData>
  <mergeCells count="44">
    <mergeCell ref="A31:H31"/>
    <mergeCell ref="A28:B28"/>
    <mergeCell ref="C28:H28"/>
    <mergeCell ref="A29:B29"/>
    <mergeCell ref="C29:H29"/>
    <mergeCell ref="A30:B30"/>
    <mergeCell ref="C30:H30"/>
    <mergeCell ref="A24:B24"/>
    <mergeCell ref="C24:H24"/>
    <mergeCell ref="A25:B25"/>
    <mergeCell ref="C25:H25"/>
    <mergeCell ref="A27:H27"/>
    <mergeCell ref="A21:B21"/>
    <mergeCell ref="C21:H21"/>
    <mergeCell ref="A22:B22"/>
    <mergeCell ref="C22:H22"/>
    <mergeCell ref="A23:B23"/>
    <mergeCell ref="C23:H23"/>
    <mergeCell ref="A17:B17"/>
    <mergeCell ref="C17:H17"/>
    <mergeCell ref="A19:H19"/>
    <mergeCell ref="A20:B20"/>
    <mergeCell ref="C20:H20"/>
    <mergeCell ref="A14:H14"/>
    <mergeCell ref="A15:B15"/>
    <mergeCell ref="C15:H15"/>
    <mergeCell ref="A16:B16"/>
    <mergeCell ref="C16:H16"/>
    <mergeCell ref="A10:B10"/>
    <mergeCell ref="C10:H10"/>
    <mergeCell ref="A11:B11"/>
    <mergeCell ref="C11:H11"/>
    <mergeCell ref="A12:B12"/>
    <mergeCell ref="C12:H12"/>
    <mergeCell ref="A6:B6"/>
    <mergeCell ref="C6:H6"/>
    <mergeCell ref="A8:H8"/>
    <mergeCell ref="A9:B9"/>
    <mergeCell ref="C9:H9"/>
    <mergeCell ref="A1:H1"/>
    <mergeCell ref="A2:H2"/>
    <mergeCell ref="A4:H4"/>
    <mergeCell ref="A5:B5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Başvuru Formu</vt:lpstr>
      <vt:lpstr>Doldurma Rehberi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Hakan Özen</cp:lastModifiedBy>
  <dcterms:modified xsi:type="dcterms:W3CDTF">2026-09-28T11:36:12Z</dcterms:modified>
</cp:coreProperties>
</file>